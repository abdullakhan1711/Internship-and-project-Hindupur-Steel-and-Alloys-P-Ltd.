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3fa0a8ec6a60ca/Desktop/Internship @HSAPL/Project/"/>
    </mc:Choice>
  </mc:AlternateContent>
  <xr:revisionPtr revIDLastSave="951" documentId="8_{8638AAA7-D8BA-493C-854F-D42B7E422060}" xr6:coauthVersionLast="47" xr6:coauthVersionMax="47" xr10:uidLastSave="{0302CF9E-BBE8-41C7-BF56-0642D5F6D133}"/>
  <bookViews>
    <workbookView xWindow="-108" yWindow="-108" windowWidth="23256" windowHeight="12456" firstSheet="4" activeTab="8" xr2:uid="{DFA9722F-29A2-45AE-9F8D-315075C4CCFA}"/>
  </bookViews>
  <sheets>
    <sheet name="purchase" sheetId="7" r:id="rId1"/>
    <sheet name="RM USEDand produced BILLET)" sheetId="11" r:id="rId2"/>
    <sheet name="Billet Production per 24 hrs" sheetId="10" r:id="rId3"/>
    <sheet name="operation cost " sheetId="8" r:id="rId4"/>
    <sheet name="1 ton billet production cost " sheetId="9" r:id="rId5"/>
    <sheet name="TMT production " sheetId="13" r:id="rId6"/>
    <sheet name="sales" sheetId="6" r:id="rId7"/>
    <sheet name="Profit Analysis " sheetId="14" r:id="rId8"/>
    <sheet name="Breakeven Analysis" sheetId="1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3" l="1"/>
  <c r="C9" i="11"/>
  <c r="B36" i="15"/>
  <c r="B35" i="15"/>
  <c r="C27" i="15"/>
  <c r="B26" i="15"/>
  <c r="E7" i="14"/>
  <c r="B34" i="8"/>
  <c r="C21" i="15"/>
  <c r="B14" i="15"/>
  <c r="B8" i="15"/>
  <c r="C13" i="6"/>
  <c r="G14" i="6"/>
  <c r="E14" i="6"/>
  <c r="F14" i="6"/>
  <c r="B33" i="8"/>
  <c r="B44" i="7"/>
  <c r="B18" i="11"/>
  <c r="C12" i="13"/>
  <c r="C10" i="13"/>
  <c r="C11" i="13"/>
  <c r="C13" i="13"/>
  <c r="C14" i="13"/>
  <c r="C25" i="8"/>
  <c r="C16" i="8"/>
  <c r="E25" i="8" s="1"/>
  <c r="E3" i="13"/>
  <c r="E4" i="13"/>
  <c r="E5" i="13"/>
  <c r="E6" i="13"/>
  <c r="C20" i="8"/>
  <c r="C24" i="8"/>
  <c r="C23" i="8"/>
  <c r="C22" i="8"/>
  <c r="C21" i="8"/>
  <c r="C12" i="8"/>
  <c r="C13" i="8"/>
  <c r="C14" i="8"/>
  <c r="C15" i="8"/>
  <c r="C11" i="8"/>
  <c r="C14" i="11"/>
  <c r="E5" i="11"/>
  <c r="E6" i="11"/>
  <c r="E7" i="11"/>
  <c r="E8" i="11"/>
  <c r="E4" i="11"/>
  <c r="C5" i="11"/>
  <c r="C6" i="11"/>
  <c r="C15" i="11" s="1"/>
  <c r="C7" i="11"/>
  <c r="C16" i="11" s="1"/>
  <c r="C8" i="11"/>
  <c r="C17" i="11" s="1"/>
  <c r="C4" i="11"/>
  <c r="C13" i="11" s="1"/>
  <c r="C18" i="11" s="1"/>
  <c r="C8" i="10"/>
  <c r="E4" i="10"/>
  <c r="E5" i="10"/>
  <c r="E6" i="10"/>
  <c r="E7" i="10"/>
  <c r="E3" i="10"/>
  <c r="E8" i="10" s="1"/>
  <c r="C4" i="10"/>
  <c r="F4" i="10" s="1"/>
  <c r="C5" i="10"/>
  <c r="F5" i="10" s="1"/>
  <c r="C6" i="10"/>
  <c r="F6" i="10" s="1"/>
  <c r="C7" i="10"/>
  <c r="F7" i="10" s="1"/>
  <c r="C3" i="10"/>
  <c r="F3" i="10" s="1"/>
  <c r="F8" i="10" s="1"/>
  <c r="B19" i="9"/>
  <c r="B16" i="9"/>
  <c r="D10" i="9"/>
  <c r="D9" i="9"/>
  <c r="D8" i="9"/>
  <c r="D11" i="9" s="1"/>
  <c r="B21" i="9" s="1"/>
  <c r="B24" i="9" s="1"/>
  <c r="D7" i="9"/>
  <c r="D6" i="9"/>
  <c r="D5" i="9"/>
  <c r="D4" i="9"/>
  <c r="D5" i="7"/>
  <c r="D6" i="7"/>
  <c r="D7" i="7"/>
  <c r="D8" i="7"/>
  <c r="D4" i="7"/>
  <c r="D16" i="7"/>
  <c r="D17" i="7"/>
  <c r="D18" i="7"/>
  <c r="D19" i="7"/>
  <c r="D15" i="7"/>
  <c r="D28" i="7"/>
  <c r="D27" i="7"/>
  <c r="C31" i="7"/>
  <c r="B31" i="7"/>
  <c r="D30" i="7"/>
  <c r="D29" i="7"/>
  <c r="D26" i="7"/>
  <c r="I6" i="6"/>
  <c r="I7" i="6"/>
  <c r="I8" i="6"/>
  <c r="I9" i="6"/>
  <c r="I5" i="6"/>
  <c r="H6" i="6"/>
  <c r="H7" i="6"/>
  <c r="H8" i="6"/>
  <c r="H9" i="6"/>
  <c r="H5" i="6"/>
  <c r="C20" i="7"/>
  <c r="B20" i="7"/>
  <c r="C9" i="7"/>
  <c r="B9" i="7"/>
  <c r="G6" i="6"/>
  <c r="G7" i="6"/>
  <c r="G8" i="6"/>
  <c r="G9" i="6"/>
  <c r="G5" i="6"/>
  <c r="D6" i="6"/>
  <c r="D7" i="6"/>
  <c r="D8" i="6"/>
  <c r="D9" i="6"/>
  <c r="D5" i="6"/>
  <c r="D10" i="6" l="1"/>
  <c r="G1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tc={8DD2BD47-1A13-4431-95AD-372ABC85D93B}</author>
  </authors>
  <commentList>
    <comment ref="D2" authorId="0" shapeId="0" xr:uid="{8DD2BD47-1A13-4431-95AD-372ABC85D93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Purchase from Jai Hind 
</t>
      </text>
    </comment>
  </commentList>
</comments>
</file>

<file path=xl/sharedStrings.xml><?xml version="1.0" encoding="utf-8"?>
<sst xmlns="http://schemas.openxmlformats.org/spreadsheetml/2006/main" count="161" uniqueCount="136">
  <si>
    <t xml:space="preserve">Date </t>
  </si>
  <si>
    <t xml:space="preserve">sales value </t>
  </si>
  <si>
    <t>NXT</t>
  </si>
  <si>
    <t>KAY2</t>
  </si>
  <si>
    <t xml:space="preserve">total day sales </t>
  </si>
  <si>
    <t xml:space="preserve">sales Quantity </t>
  </si>
  <si>
    <t xml:space="preserve">total sales value </t>
  </si>
  <si>
    <t xml:space="preserve">TMT bars Sales </t>
  </si>
  <si>
    <t xml:space="preserve">scrap purchase  quantity </t>
  </si>
  <si>
    <t xml:space="preserve">Scrap purchase value </t>
  </si>
  <si>
    <t>Turning Boring and other Scrap (PURCHASE)</t>
  </si>
  <si>
    <t>Ingots and Billets - Rolling Div(PURCHASE)</t>
  </si>
  <si>
    <t xml:space="preserve">Ingots and Billets purchase quantity </t>
  </si>
  <si>
    <t xml:space="preserve">Ingots and Billets purchase value </t>
  </si>
  <si>
    <t xml:space="preserve">per KG Value </t>
  </si>
  <si>
    <t xml:space="preserve">price per KG NXT </t>
  </si>
  <si>
    <t>price per KG KAY2</t>
  </si>
  <si>
    <t xml:space="preserve">price </t>
  </si>
  <si>
    <t xml:space="preserve">Sponge Iron (purchase ) </t>
  </si>
  <si>
    <t xml:space="preserve">Sponge Iron purchase quantity </t>
  </si>
  <si>
    <t xml:space="preserve"> Sponge Iron purchase  value </t>
  </si>
  <si>
    <t>Particulars</t>
  </si>
  <si>
    <t>Amount</t>
  </si>
  <si>
    <t>Monthly Electricity Cost</t>
  </si>
  <si>
    <t>Monthly Labour Cost</t>
  </si>
  <si>
    <t>Total Monthly Operational Cost</t>
  </si>
  <si>
    <t>Estimated Daily Operational Cost</t>
  </si>
  <si>
    <t>Estimated 5-Day Operational Cost</t>
  </si>
  <si>
    <t xml:space="preserve">Billet Production Cost Analysis </t>
  </si>
  <si>
    <t>Material</t>
  </si>
  <si>
    <t>Quantity (Ton)</t>
  </si>
  <si>
    <t>Avg Rate/Ton (₹)</t>
  </si>
  <si>
    <t>Total Cost (₹)</t>
  </si>
  <si>
    <t>CI Boring</t>
  </si>
  <si>
    <t>Rolling Scrap</t>
  </si>
  <si>
    <t>Scrap</t>
  </si>
  <si>
    <t>CR Bundle</t>
  </si>
  <si>
    <t>Pellets</t>
  </si>
  <si>
    <t>Lumps</t>
  </si>
  <si>
    <t>Manganese</t>
  </si>
  <si>
    <t>Total Raw Material Cost</t>
  </si>
  <si>
    <t>Electricity Details</t>
  </si>
  <si>
    <t>Power Consumption (Units)</t>
  </si>
  <si>
    <t>Rate per Unit (₹)</t>
  </si>
  <si>
    <t>Electricity Cost</t>
  </si>
  <si>
    <t xml:space="preserve">Labour Cost per Month </t>
  </si>
  <si>
    <t xml:space="preserve">Labour cost per day </t>
  </si>
  <si>
    <t>Total Production Cost</t>
  </si>
  <si>
    <t>Total Billet Production (Ton)</t>
  </si>
  <si>
    <t>Cost Per Ton Billet (₹)</t>
  </si>
  <si>
    <t xml:space="preserve">Billet Production per day for 2 factories </t>
  </si>
  <si>
    <t xml:space="preserve">Hindupur steel </t>
  </si>
  <si>
    <t xml:space="preserve">Jai Hind Rolling mill </t>
  </si>
  <si>
    <t>per ton</t>
  </si>
  <si>
    <t xml:space="preserve">per ton </t>
  </si>
  <si>
    <t>total production</t>
  </si>
  <si>
    <t>RM Used In Kgs</t>
  </si>
  <si>
    <t xml:space="preserve">in tons </t>
  </si>
  <si>
    <t xml:space="preserve">Raw material used for production for production of BILLET in Hindupur steels (All typrs of Raw materials) and billet produced on that dates </t>
  </si>
  <si>
    <t>Manganese used Kgs</t>
  </si>
  <si>
    <t>in tons</t>
  </si>
  <si>
    <t>Billet Produced</t>
  </si>
  <si>
    <t xml:space="preserve">production in(tons) </t>
  </si>
  <si>
    <t xml:space="preserve">wastage </t>
  </si>
  <si>
    <t>wastage(slag)</t>
  </si>
  <si>
    <t>power consumption (furnace)</t>
  </si>
  <si>
    <t xml:space="preserve">units </t>
  </si>
  <si>
    <t xml:space="preserve">date </t>
  </si>
  <si>
    <t xml:space="preserve">power cost per unit </t>
  </si>
  <si>
    <t xml:space="preserve">total cost </t>
  </si>
  <si>
    <t xml:space="preserve">power consumption rolling Mill </t>
  </si>
  <si>
    <t>Billet used for production (tons)</t>
  </si>
  <si>
    <t>TMT produced (in tons)</t>
  </si>
  <si>
    <t xml:space="preserve">percentage procured </t>
  </si>
  <si>
    <t xml:space="preserve">Total sales quantity </t>
  </si>
  <si>
    <t xml:space="preserve">tons </t>
  </si>
  <si>
    <t xml:space="preserve">Bypassed Material for later use </t>
  </si>
  <si>
    <t xml:space="preserve">Kgs </t>
  </si>
  <si>
    <t xml:space="preserve">total power consumption of the both furnace and TMT rolling Mill </t>
  </si>
  <si>
    <t>Date</t>
  </si>
  <si>
    <t>Sales Revenue (₹)</t>
  </si>
  <si>
    <t>RM Cost (₹)</t>
  </si>
  <si>
    <t>Gross Profit (₹)</t>
  </si>
  <si>
    <t>Op Cost (₹)</t>
  </si>
  <si>
    <t>Net Profit (₹)</t>
  </si>
  <si>
    <t>Net Margin %</t>
  </si>
  <si>
    <t>TOTAL</t>
  </si>
  <si>
    <t>Value</t>
  </si>
  <si>
    <t xml:space="preserve"> </t>
  </si>
  <si>
    <t xml:space="preserve"> BREAKEVEN SUMMARY</t>
  </si>
  <si>
    <t xml:space="preserve"> Daily Breakeven Sales (Tons)</t>
  </si>
  <si>
    <t xml:space="preserve"> Daily Breakeven Revenue (₹)</t>
  </si>
  <si>
    <t>⚠️ Rule:</t>
  </si>
  <si>
    <t xml:space="preserve"> Sell below 203 tons = Loss</t>
  </si>
  <si>
    <t>Total Purchase Value</t>
  </si>
  <si>
    <t>Sponge Iron</t>
  </si>
  <si>
    <t>Ingots and Billets</t>
  </si>
  <si>
    <t>Turning Boring Scrap</t>
  </si>
  <si>
    <t>Yield %</t>
  </si>
  <si>
    <t>total day sales quantity (tons)</t>
  </si>
  <si>
    <t>Metric</t>
  </si>
  <si>
    <t>RM Used (Tons)</t>
  </si>
  <si>
    <t>Billet Produced (Tons)</t>
  </si>
  <si>
    <t>Wastage (Tons)</t>
  </si>
  <si>
    <t>Cost Component</t>
  </si>
  <si>
    <t>Electricity (Furnace)</t>
  </si>
  <si>
    <t>Electricity (Rolling Mill)</t>
  </si>
  <si>
    <t>Labour (5 days)</t>
  </si>
  <si>
    <t xml:space="preserve">1. calculate the average selling price </t>
  </si>
  <si>
    <t>Average Selling Price=Total Quantity Sold/ Total Sales Value​ *1000</t>
  </si>
  <si>
    <t>1. Total Sales Value =</t>
  </si>
  <si>
    <t xml:space="preserve">2. Total Sales Quantity = </t>
  </si>
  <si>
    <t xml:space="preserve">kg </t>
  </si>
  <si>
    <t>Average Selling Price</t>
  </si>
  <si>
    <t xml:space="preserve">2. variable cost </t>
  </si>
  <si>
    <t xml:space="preserve">Total RM Cost = </t>
  </si>
  <si>
    <t>Total Sales Quantity = tons</t>
  </si>
  <si>
    <t xml:space="preserve">RM/sales qty </t>
  </si>
  <si>
    <t xml:space="preserve">Variable cost </t>
  </si>
  <si>
    <t xml:space="preserve">Contribution </t>
  </si>
  <si>
    <t>Contribution=Average Selling Price−Variable Cost</t>
  </si>
  <si>
    <t xml:space="preserve"> average selling price </t>
  </si>
  <si>
    <t xml:space="preserve">variable cost </t>
  </si>
  <si>
    <t xml:space="preserve">4. Fixed cost </t>
  </si>
  <si>
    <t>Monthly Electricity Cost =</t>
  </si>
  <si>
    <t>Monthly Labour Cost =</t>
  </si>
  <si>
    <t xml:space="preserve">divided by 30 days </t>
  </si>
  <si>
    <t xml:space="preserve">5. Break even quantity </t>
  </si>
  <si>
    <t xml:space="preserve">Fixed cost-contribution </t>
  </si>
  <si>
    <t xml:space="preserve">Fixed Cost </t>
  </si>
  <si>
    <t xml:space="preserve">BEP </t>
  </si>
  <si>
    <t xml:space="preserve">BEpP amount </t>
  </si>
  <si>
    <t xml:space="preserve">BEP Quantity multiplied by average selling price </t>
  </si>
  <si>
    <t>Day</t>
  </si>
  <si>
    <t>Sales (Tons)</t>
  </si>
  <si>
    <t>Breakeven (Tons)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</si>
</sst>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₹&quot;\ #,##0;[Red]&quot;₹&quot;\ \-#,##0"/>
    <numFmt numFmtId="8" formatCode="&quot;₹&quot;\ #,##0.00;[Red]&quot;₹&quot;\ \-#,##0.00"/>
    <numFmt numFmtId="164" formatCode="&quot;₹&quot;\ #,##0.00"/>
    <numFmt numFmtId="165" formatCode="0.000"/>
    <numFmt numFmtId="166" formatCode="&quot;₹&quot;\ #,##0.000"/>
  </numFmts>
  <fonts count="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3">
    <xf numFmtId="0" fontId="0" fillId="0" borderId="0" xfId="0"/>
    <xf numFmtId="164" fontId="0" fillId="0" borderId="0" xfId="0" applyNumberFormat="1"/>
    <xf numFmtId="0" fontId="0" fillId="0" borderId="1" xfId="0" applyBorder="1"/>
    <xf numFmtId="14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0" fontId="0" fillId="0" borderId="3" xfId="0" applyBorder="1"/>
    <xf numFmtId="14" fontId="0" fillId="0" borderId="3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10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2" fontId="0" fillId="0" borderId="17" xfId="0" applyNumberFormat="1" applyBorder="1"/>
    <xf numFmtId="2" fontId="0" fillId="0" borderId="2" xfId="0" applyNumberFormat="1" applyBorder="1"/>
    <xf numFmtId="164" fontId="0" fillId="0" borderId="2" xfId="0" applyNumberFormat="1" applyBorder="1"/>
    <xf numFmtId="0" fontId="1" fillId="0" borderId="0" xfId="0" applyFont="1"/>
    <xf numFmtId="0" fontId="0" fillId="0" borderId="21" xfId="0" applyBorder="1"/>
    <xf numFmtId="165" fontId="0" fillId="0" borderId="1" xfId="0" applyNumberFormat="1" applyBorder="1"/>
    <xf numFmtId="0" fontId="0" fillId="0" borderId="24" xfId="0" applyBorder="1"/>
    <xf numFmtId="164" fontId="0" fillId="0" borderId="3" xfId="0" applyNumberFormat="1" applyBorder="1"/>
    <xf numFmtId="166" fontId="0" fillId="0" borderId="1" xfId="0" applyNumberFormat="1" applyBorder="1"/>
    <xf numFmtId="0" fontId="0" fillId="0" borderId="25" xfId="0" applyBorder="1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6" fontId="0" fillId="0" borderId="0" xfId="0" applyNumberFormat="1" applyAlignment="1">
      <alignment horizontal="right" vertical="center"/>
    </xf>
    <xf numFmtId="0" fontId="4" fillId="0" borderId="0" xfId="0" applyFont="1"/>
    <xf numFmtId="0" fontId="5" fillId="0" borderId="30" xfId="0" applyFont="1" applyBorder="1"/>
    <xf numFmtId="0" fontId="5" fillId="0" borderId="31" xfId="0" applyFont="1" applyBorder="1"/>
    <xf numFmtId="0" fontId="5" fillId="0" borderId="5" xfId="0" applyFont="1" applyBorder="1"/>
    <xf numFmtId="0" fontId="0" fillId="0" borderId="32" xfId="0" applyBorder="1"/>
    <xf numFmtId="0" fontId="0" fillId="0" borderId="33" xfId="0" applyBorder="1"/>
    <xf numFmtId="164" fontId="0" fillId="0" borderId="32" xfId="0" applyNumberFormat="1" applyBorder="1"/>
    <xf numFmtId="0" fontId="0" fillId="0" borderId="34" xfId="0" applyBorder="1"/>
    <xf numFmtId="0" fontId="0" fillId="0" borderId="35" xfId="0" applyBorder="1"/>
    <xf numFmtId="164" fontId="0" fillId="0" borderId="36" xfId="0" applyNumberFormat="1" applyBorder="1"/>
    <xf numFmtId="0" fontId="5" fillId="0" borderId="2" xfId="0" applyFont="1" applyBorder="1"/>
    <xf numFmtId="164" fontId="5" fillId="0" borderId="2" xfId="0" applyNumberFormat="1" applyFont="1" applyBorder="1"/>
    <xf numFmtId="164" fontId="0" fillId="0" borderId="30" xfId="0" applyNumberFormat="1" applyBorder="1"/>
    <xf numFmtId="164" fontId="0" fillId="0" borderId="34" xfId="0" applyNumberFormat="1" applyBorder="1"/>
    <xf numFmtId="0" fontId="0" fillId="0" borderId="4" xfId="0" applyBorder="1"/>
    <xf numFmtId="164" fontId="0" fillId="0" borderId="5" xfId="0" applyNumberFormat="1" applyBorder="1"/>
    <xf numFmtId="0" fontId="0" fillId="0" borderId="8" xfId="0" applyBorder="1"/>
    <xf numFmtId="0" fontId="5" fillId="0" borderId="14" xfId="0" applyFont="1" applyBorder="1"/>
    <xf numFmtId="164" fontId="5" fillId="0" borderId="16" xfId="0" applyNumberFormat="1" applyFont="1" applyBorder="1"/>
    <xf numFmtId="0" fontId="0" fillId="0" borderId="5" xfId="0" applyBorder="1"/>
    <xf numFmtId="0" fontId="5" fillId="0" borderId="8" xfId="0" applyFont="1" applyBorder="1"/>
    <xf numFmtId="164" fontId="5" fillId="0" borderId="9" xfId="0" applyNumberFormat="1" applyFont="1" applyBorder="1"/>
    <xf numFmtId="0" fontId="0" fillId="0" borderId="19" xfId="0" applyBorder="1"/>
    <xf numFmtId="0" fontId="0" fillId="0" borderId="38" xfId="0" applyBorder="1"/>
    <xf numFmtId="0" fontId="0" fillId="0" borderId="2" xfId="0" applyBorder="1"/>
    <xf numFmtId="0" fontId="0" fillId="0" borderId="39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28" xfId="0" applyBorder="1"/>
    <xf numFmtId="0" fontId="0" fillId="0" borderId="30" xfId="0" applyBorder="1"/>
    <xf numFmtId="0" fontId="0" fillId="0" borderId="31" xfId="0" applyBorder="1"/>
    <xf numFmtId="17" fontId="0" fillId="0" borderId="32" xfId="0" applyNumberFormat="1" applyBorder="1"/>
    <xf numFmtId="17" fontId="0" fillId="0" borderId="34" xfId="0" applyNumberFormat="1" applyBorder="1"/>
    <xf numFmtId="17" fontId="0" fillId="0" borderId="26" xfId="0" applyNumberFormat="1" applyBorder="1"/>
    <xf numFmtId="17" fontId="0" fillId="0" borderId="27" xfId="0" applyNumberFormat="1" applyBorder="1"/>
    <xf numFmtId="0" fontId="0" fillId="0" borderId="26" xfId="0" applyBorder="1"/>
    <xf numFmtId="0" fontId="0" fillId="0" borderId="27" xfId="0" applyBorder="1"/>
    <xf numFmtId="17" fontId="0" fillId="0" borderId="43" xfId="0" applyNumberFormat="1" applyBorder="1"/>
    <xf numFmtId="0" fontId="0" fillId="0" borderId="1" xfId="0" applyBorder="1" applyAlignment="1">
      <alignment vertical="center"/>
    </xf>
    <xf numFmtId="1" fontId="0" fillId="0" borderId="24" xfId="0" applyNumberFormat="1" applyBorder="1"/>
    <xf numFmtId="1" fontId="0" fillId="0" borderId="3" xfId="0" applyNumberFormat="1" applyBorder="1"/>
    <xf numFmtId="166" fontId="0" fillId="0" borderId="0" xfId="0" applyNumberFormat="1"/>
    <xf numFmtId="14" fontId="0" fillId="0" borderId="0" xfId="0" applyNumberFormat="1"/>
    <xf numFmtId="165" fontId="0" fillId="0" borderId="0" xfId="0" applyNumberFormat="1"/>
    <xf numFmtId="2" fontId="0" fillId="0" borderId="1" xfId="1" applyNumberFormat="1" applyFont="1" applyBorder="1"/>
    <xf numFmtId="0" fontId="0" fillId="0" borderId="14" xfId="0" applyBorder="1"/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22" xfId="0" applyBorder="1"/>
    <xf numFmtId="2" fontId="0" fillId="0" borderId="22" xfId="1" applyNumberFormat="1" applyFont="1" applyBorder="1"/>
    <xf numFmtId="0" fontId="0" fillId="0" borderId="23" xfId="0" applyBorder="1"/>
    <xf numFmtId="2" fontId="0" fillId="0" borderId="23" xfId="1" applyNumberFormat="1" applyFont="1" applyBorder="1"/>
    <xf numFmtId="14" fontId="0" fillId="0" borderId="30" xfId="0" applyNumberFormat="1" applyBorder="1"/>
    <xf numFmtId="14" fontId="0" fillId="0" borderId="32" xfId="0" applyNumberFormat="1" applyBorder="1"/>
    <xf numFmtId="14" fontId="0" fillId="0" borderId="34" xfId="0" applyNumberFormat="1" applyBorder="1"/>
    <xf numFmtId="0" fontId="6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1" fillId="0" borderId="38" xfId="0" applyFont="1" applyBorder="1"/>
    <xf numFmtId="14" fontId="0" fillId="0" borderId="21" xfId="0" applyNumberFormat="1" applyBorder="1"/>
    <xf numFmtId="164" fontId="0" fillId="0" borderId="21" xfId="0" applyNumberFormat="1" applyBorder="1"/>
    <xf numFmtId="0" fontId="2" fillId="0" borderId="14" xfId="0" applyFont="1" applyBorder="1" applyAlignment="1">
      <alignment horizontal="center" vertical="center" wrapText="1"/>
    </xf>
    <xf numFmtId="164" fontId="2" fillId="0" borderId="16" xfId="0" applyNumberFormat="1" applyFont="1" applyBorder="1"/>
    <xf numFmtId="164" fontId="0" fillId="0" borderId="38" xfId="0" applyNumberFormat="1" applyBorder="1"/>
    <xf numFmtId="164" fontId="0" fillId="0" borderId="33" xfId="0" applyNumberFormat="1" applyBorder="1"/>
    <xf numFmtId="14" fontId="0" fillId="0" borderId="36" xfId="0" applyNumberFormat="1" applyBorder="1"/>
    <xf numFmtId="14" fontId="0" fillId="0" borderId="44" xfId="0" applyNumberFormat="1" applyBorder="1"/>
    <xf numFmtId="164" fontId="0" fillId="0" borderId="45" xfId="0" applyNumberFormat="1" applyBorder="1"/>
    <xf numFmtId="0" fontId="0" fillId="0" borderId="46" xfId="0" applyBorder="1"/>
    <xf numFmtId="0" fontId="0" fillId="0" borderId="15" xfId="0" applyBorder="1"/>
    <xf numFmtId="0" fontId="0" fillId="0" borderId="16" xfId="0" applyBorder="1"/>
    <xf numFmtId="164" fontId="0" fillId="0" borderId="24" xfId="0" applyNumberFormat="1" applyBorder="1"/>
    <xf numFmtId="10" fontId="0" fillId="0" borderId="45" xfId="0" applyNumberFormat="1" applyBorder="1"/>
    <xf numFmtId="10" fontId="0" fillId="0" borderId="33" xfId="0" applyNumberFormat="1" applyBorder="1"/>
    <xf numFmtId="164" fontId="0" fillId="0" borderId="47" xfId="0" applyNumberFormat="1" applyBorder="1"/>
    <xf numFmtId="10" fontId="0" fillId="0" borderId="47" xfId="0" applyNumberFormat="1" applyBorder="1"/>
    <xf numFmtId="164" fontId="0" fillId="0" borderId="14" xfId="0" applyNumberFormat="1" applyBorder="1"/>
    <xf numFmtId="164" fontId="0" fillId="0" borderId="15" xfId="0" applyNumberFormat="1" applyBorder="1"/>
    <xf numFmtId="164" fontId="0" fillId="0" borderId="48" xfId="0" applyNumberFormat="1" applyBorder="1"/>
    <xf numFmtId="10" fontId="0" fillId="0" borderId="29" xfId="0" applyNumberFormat="1" applyBorder="1"/>
    <xf numFmtId="2" fontId="0" fillId="0" borderId="0" xfId="0" applyNumberFormat="1"/>
    <xf numFmtId="0" fontId="0" fillId="0" borderId="45" xfId="0" applyBorder="1"/>
    <xf numFmtId="164" fontId="1" fillId="0" borderId="0" xfId="0" applyNumberFormat="1" applyFont="1"/>
    <xf numFmtId="164" fontId="0" fillId="0" borderId="29" xfId="0" applyNumberFormat="1" applyBorder="1"/>
    <xf numFmtId="6" fontId="0" fillId="0" borderId="0" xfId="0" applyNumberFormat="1"/>
    <xf numFmtId="8" fontId="0" fillId="0" borderId="0" xfId="0" applyNumberFormat="1"/>
    <xf numFmtId="164" fontId="0" fillId="0" borderId="39" xfId="0" applyNumberFormat="1" applyBorder="1"/>
    <xf numFmtId="1" fontId="0" fillId="0" borderId="2" xfId="0" applyNumberFormat="1" applyBorder="1"/>
    <xf numFmtId="8" fontId="0" fillId="0" borderId="2" xfId="0" applyNumberFormat="1" applyBorder="1"/>
    <xf numFmtId="14" fontId="0" fillId="0" borderId="4" xfId="0" applyNumberFormat="1" applyBorder="1"/>
    <xf numFmtId="165" fontId="0" fillId="0" borderId="5" xfId="0" applyNumberFormat="1" applyBorder="1"/>
    <xf numFmtId="14" fontId="0" fillId="0" borderId="6" xfId="0" applyNumberFormat="1" applyBorder="1"/>
    <xf numFmtId="14" fontId="1" fillId="0" borderId="6" xfId="0" applyNumberFormat="1" applyFont="1" applyBorder="1"/>
    <xf numFmtId="0" fontId="2" fillId="0" borderId="8" xfId="0" applyFont="1" applyBorder="1"/>
    <xf numFmtId="164" fontId="2" fillId="0" borderId="9" xfId="0" applyNumberFormat="1" applyFont="1" applyBorder="1"/>
    <xf numFmtId="0" fontId="2" fillId="0" borderId="0" xfId="0" applyFont="1"/>
    <xf numFmtId="0" fontId="0" fillId="0" borderId="37" xfId="0" applyBorder="1"/>
    <xf numFmtId="0" fontId="1" fillId="0" borderId="4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37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8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Raw Material Purchase Cost Breakdown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purchase!$B$40</c:f>
              <c:strCache>
                <c:ptCount val="1"/>
                <c:pt idx="0">
                  <c:v>Total Purchase 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62A-4DBE-804F-B51802872D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62A-4DBE-804F-B51802872D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62A-4DBE-804F-B51802872D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purchase!$A$41:$A$43</c:f>
              <c:strCache>
                <c:ptCount val="3"/>
                <c:pt idx="0">
                  <c:v>Sponge Iron</c:v>
                </c:pt>
                <c:pt idx="1">
                  <c:v>Ingots and Billets</c:v>
                </c:pt>
                <c:pt idx="2">
                  <c:v>Turning Boring Scrap</c:v>
                </c:pt>
              </c:strCache>
            </c:strRef>
          </c:cat>
          <c:val>
            <c:numRef>
              <c:f>purchase!$B$41:$B$43</c:f>
              <c:numCache>
                <c:formatCode>"₹"\ #,##0.00</c:formatCode>
                <c:ptCount val="3"/>
                <c:pt idx="0">
                  <c:v>23376582</c:v>
                </c:pt>
                <c:pt idx="1">
                  <c:v>19163769</c:v>
                </c:pt>
                <c:pt idx="2">
                  <c:v>11318478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9E-429A-883C-40F16E3E386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'RM USEDand produced BILLET)'!$B$22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82-40AD-8A74-AEB6F60D9107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C82-40AD-8A74-AEB6F60D91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'RM USEDand produced BILLET)'!$A$23:$A$25</c:f>
              <c:strCache>
                <c:ptCount val="3"/>
                <c:pt idx="0">
                  <c:v>RM Used (Tons)</c:v>
                </c:pt>
                <c:pt idx="1">
                  <c:v>Billet Produced (Tons)</c:v>
                </c:pt>
                <c:pt idx="2">
                  <c:v>Wastage (Tons)</c:v>
                </c:pt>
              </c:strCache>
            </c:strRef>
          </c:cat>
          <c:val>
            <c:numRef>
              <c:f>'RM USEDand produced BILLET)'!$B$23:$B$25</c:f>
              <c:numCache>
                <c:formatCode>General</c:formatCode>
                <c:ptCount val="3"/>
                <c:pt idx="0">
                  <c:v>1775</c:v>
                </c:pt>
                <c:pt idx="1">
                  <c:v>1490</c:v>
                </c:pt>
                <c:pt idx="2">
                  <c:v>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2-40AD-8A74-AEB6F60D91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35852383"/>
        <c:axId val="835856223"/>
      </c:barChart>
      <c:catAx>
        <c:axId val="835852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856223"/>
        <c:crosses val="autoZero"/>
        <c:auto val="1"/>
        <c:lblAlgn val="ctr"/>
        <c:lblOffset val="100"/>
        <c:noMultiLvlLbl val="0"/>
      </c:catAx>
      <c:valAx>
        <c:axId val="835856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85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'operation cost '!$B$29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97-4295-B095-7EB497CDC6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97-4295-B095-7EB497CDC6B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97-4295-B095-7EB497CDC6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'operation cost '!$A$30:$A$32</c:f>
              <c:strCache>
                <c:ptCount val="3"/>
                <c:pt idx="0">
                  <c:v>Electricity (Furnace)</c:v>
                </c:pt>
                <c:pt idx="1">
                  <c:v>Electricity (Rolling Mill)</c:v>
                </c:pt>
                <c:pt idx="2">
                  <c:v>Labour (5 days)</c:v>
                </c:pt>
              </c:strCache>
            </c:strRef>
          </c:cat>
          <c:val>
            <c:numRef>
              <c:f>'operation cost '!$B$30:$B$32</c:f>
              <c:numCache>
                <c:formatCode>"₹"\ #,##0.00</c:formatCode>
                <c:ptCount val="3"/>
                <c:pt idx="0">
                  <c:v>11984000</c:v>
                </c:pt>
                <c:pt idx="1">
                  <c:v>1665800</c:v>
                </c:pt>
                <c:pt idx="2">
                  <c:v>1833333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24-4C92-B87A-E4E92755729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'TMT production '!$B$18</c:f>
              <c:strCache>
                <c:ptCount val="1"/>
                <c:pt idx="0">
                  <c:v>Yield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'TMT production '!$A$19:$A$23</c:f>
              <c:numCache>
                <c:formatCode>m/d/yyyy</c:formatCode>
                <c:ptCount val="5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</c:numCache>
            </c:numRef>
          </c:cat>
          <c:val>
            <c:numRef>
              <c:f>'TMT production '!$B$19:$B$23</c:f>
              <c:numCache>
                <c:formatCode>General</c:formatCode>
                <c:ptCount val="5"/>
                <c:pt idx="0">
                  <c:v>95.83</c:v>
                </c:pt>
                <c:pt idx="1">
                  <c:v>95.19</c:v>
                </c:pt>
                <c:pt idx="2">
                  <c:v>96.05</c:v>
                </c:pt>
                <c:pt idx="3">
                  <c:v>96.29</c:v>
                </c:pt>
                <c:pt idx="4">
                  <c:v>95.86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78-448F-93B8-2382E4BDC44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87524095"/>
        <c:axId val="687515455"/>
      </c:lineChart>
      <c:dateAx>
        <c:axId val="68752409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515455"/>
        <c:crosses val="autoZero"/>
        <c:auto val="1"/>
        <c:lblOffset val="100"/>
        <c:baseTimeUnit val="days"/>
      </c:dateAx>
      <c:valAx>
        <c:axId val="68751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5240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Daily TMT Sales Quantity (Tons)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sales!$B$20</c:f>
              <c:strCache>
                <c:ptCount val="1"/>
                <c:pt idx="0">
                  <c:v>total day sales quantity (tons)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sales!$A$21:$A$25</c:f>
              <c:numCache>
                <c:formatCode>m/d/yyyy</c:formatCode>
                <c:ptCount val="5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</c:numCache>
            </c:numRef>
          </c:cat>
          <c:val>
            <c:numRef>
              <c:f>sales!$B$21:$B$25</c:f>
              <c:numCache>
                <c:formatCode>General</c:formatCode>
                <c:ptCount val="5"/>
                <c:pt idx="0">
                  <c:v>364.25</c:v>
                </c:pt>
                <c:pt idx="1">
                  <c:v>276.99</c:v>
                </c:pt>
                <c:pt idx="2" formatCode="0.00">
                  <c:v>94.86</c:v>
                </c:pt>
                <c:pt idx="3" formatCode="0.00">
                  <c:v>388.39</c:v>
                </c:pt>
                <c:pt idx="4" formatCode="0.00">
                  <c:v>423.59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E-4EA1-A896-F1BEEFE468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7544255"/>
        <c:axId val="687555295"/>
      </c:barChart>
      <c:dateAx>
        <c:axId val="68754425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555295"/>
        <c:crosses val="autoZero"/>
        <c:auto val="1"/>
        <c:lblOffset val="100"/>
        <c:baseTimeUnit val="days"/>
      </c:dateAx>
      <c:valAx>
        <c:axId val="68755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54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0" i="0" u="none" strike="noStrike" baseline="0">
                <a:effectLst/>
              </a:rPr>
              <a:t>Daily Net Profit (₹ Lakhs)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Analysis '!$A$12</c:f>
              <c:strCache>
                <c:ptCount val="1"/>
                <c:pt idx="0">
                  <c:v>01-05-2026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'Profit Analysis '!$B$11</c:f>
              <c:strCache>
                <c:ptCount val="1"/>
                <c:pt idx="0">
                  <c:v>Net Profit (₹)</c:v>
                </c:pt>
              </c:strCache>
            </c:strRef>
          </c:cat>
          <c:val>
            <c:numRef>
              <c:f>'Profit Analysis '!$B$12</c:f>
              <c:numCache>
                <c:formatCode>"₹"\ #,##0.00</c:formatCode>
                <c:ptCount val="1"/>
                <c:pt idx="0">
                  <c:v>3005187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B-4363-BCE3-28125356775D}"/>
            </c:ext>
          </c:extLst>
        </c:ser>
        <c:ser>
          <c:idx val="1"/>
          <c:order val="1"/>
          <c:tx>
            <c:strRef>
              <c:f>'Profit Analysis '!$A$13</c:f>
              <c:strCache>
                <c:ptCount val="1"/>
                <c:pt idx="0">
                  <c:v>02-05-2026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'Profit Analysis '!$B$11</c:f>
              <c:strCache>
                <c:ptCount val="1"/>
                <c:pt idx="0">
                  <c:v>Net Profit (₹)</c:v>
                </c:pt>
              </c:strCache>
            </c:strRef>
          </c:cat>
          <c:val>
            <c:numRef>
              <c:f>'Profit Analysis '!$B$13</c:f>
              <c:numCache>
                <c:formatCode>"₹"\ #,##0.00</c:formatCode>
                <c:ptCount val="1"/>
                <c:pt idx="0">
                  <c:v>1391589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CB-4363-BCE3-28125356775D}"/>
            </c:ext>
          </c:extLst>
        </c:ser>
        <c:ser>
          <c:idx val="2"/>
          <c:order val="2"/>
          <c:tx>
            <c:strRef>
              <c:f>'Profit Analysis '!$A$14</c:f>
              <c:strCache>
                <c:ptCount val="1"/>
                <c:pt idx="0">
                  <c:v>03-05-2026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'Profit Analysis '!$B$11</c:f>
              <c:strCache>
                <c:ptCount val="1"/>
                <c:pt idx="0">
                  <c:v>Net Profit (₹)</c:v>
                </c:pt>
              </c:strCache>
            </c:strRef>
          </c:cat>
          <c:val>
            <c:numRef>
              <c:f>'Profit Analysis '!$B$14</c:f>
              <c:numCache>
                <c:formatCode>"₹"\ #,##0.00</c:formatCode>
                <c:ptCount val="1"/>
                <c:pt idx="0">
                  <c:v>-1983913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CB-4363-BCE3-28125356775D}"/>
            </c:ext>
          </c:extLst>
        </c:ser>
        <c:ser>
          <c:idx val="3"/>
          <c:order val="3"/>
          <c:tx>
            <c:strRef>
              <c:f>'Profit Analysis '!$A$15</c:f>
              <c:strCache>
                <c:ptCount val="1"/>
                <c:pt idx="0">
                  <c:v>04-05-2026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'Profit Analysis '!$B$11</c:f>
              <c:strCache>
                <c:ptCount val="1"/>
                <c:pt idx="0">
                  <c:v>Net Profit (₹)</c:v>
                </c:pt>
              </c:strCache>
            </c:strRef>
          </c:cat>
          <c:val>
            <c:numRef>
              <c:f>'Profit Analysis '!$B$15</c:f>
              <c:numCache>
                <c:formatCode>"₹"\ #,##0.00</c:formatCode>
                <c:ptCount val="1"/>
                <c:pt idx="0">
                  <c:v>3389488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CB-4363-BCE3-28125356775D}"/>
            </c:ext>
          </c:extLst>
        </c:ser>
        <c:ser>
          <c:idx val="4"/>
          <c:order val="4"/>
          <c:tx>
            <c:strRef>
              <c:f>'Profit Analysis '!$A$16</c:f>
              <c:strCache>
                <c:ptCount val="1"/>
                <c:pt idx="0">
                  <c:v>05-05-2026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'Profit Analysis '!$B$11</c:f>
              <c:strCache>
                <c:ptCount val="1"/>
                <c:pt idx="0">
                  <c:v>Net Profit (₹)</c:v>
                </c:pt>
              </c:strCache>
            </c:strRef>
          </c:cat>
          <c:val>
            <c:numRef>
              <c:f>'Profit Analysis '!$B$16</c:f>
              <c:numCache>
                <c:formatCode>"₹"\ #,##0.00</c:formatCode>
                <c:ptCount val="1"/>
                <c:pt idx="0">
                  <c:v>3985035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CB-4363-BCE3-28125356775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80524719"/>
        <c:axId val="780534319"/>
      </c:barChart>
      <c:catAx>
        <c:axId val="780524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534319"/>
        <c:crosses val="autoZero"/>
        <c:auto val="1"/>
        <c:lblAlgn val="ctr"/>
        <c:lblOffset val="100"/>
        <c:noMultiLvlLbl val="0"/>
      </c:catAx>
      <c:valAx>
        <c:axId val="78053431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52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Breakeven</a:t>
            </a:r>
            <a:r>
              <a:rPr lang="en-IN" baseline="0"/>
              <a:t> Sales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'Breakeven Analysis'!$I$10</c:f>
              <c:strCache>
                <c:ptCount val="1"/>
                <c:pt idx="0">
                  <c:v>Sales (Tons)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'Breakeven Analysis'!$H$11:$H$15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'Breakeven Analysis'!$I$11:$I$15</c:f>
              <c:numCache>
                <c:formatCode>General</c:formatCode>
                <c:ptCount val="5"/>
                <c:pt idx="0">
                  <c:v>364</c:v>
                </c:pt>
                <c:pt idx="1">
                  <c:v>277</c:v>
                </c:pt>
                <c:pt idx="2">
                  <c:v>95</c:v>
                </c:pt>
                <c:pt idx="3">
                  <c:v>388</c:v>
                </c:pt>
                <c:pt idx="4">
                  <c:v>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D5-4CAD-BEF4-360A99DFD9E5}"/>
            </c:ext>
          </c:extLst>
        </c:ser>
        <c:ser>
          <c:idx val="1"/>
          <c:order val="1"/>
          <c:tx>
            <c:strRef>
              <c:f>'Breakeven Analysis'!$J$10</c:f>
              <c:strCache>
                <c:ptCount val="1"/>
                <c:pt idx="0">
                  <c:v>Breakeven (Tons)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'Breakeven Analysis'!$H$11:$H$15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'Breakeven Analysis'!$J$11:$J$15</c:f>
              <c:numCache>
                <c:formatCode>General</c:formatCode>
                <c:ptCount val="5"/>
                <c:pt idx="0">
                  <c:v>237</c:v>
                </c:pt>
                <c:pt idx="1">
                  <c:v>237</c:v>
                </c:pt>
                <c:pt idx="2">
                  <c:v>237</c:v>
                </c:pt>
                <c:pt idx="3">
                  <c:v>237</c:v>
                </c:pt>
                <c:pt idx="4">
                  <c:v>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D5-4CAD-BEF4-360A99DFD9E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72952751"/>
        <c:axId val="772955151"/>
      </c:lineChart>
      <c:catAx>
        <c:axId val="77295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955151"/>
        <c:crosses val="autoZero"/>
        <c:auto val="1"/>
        <c:lblAlgn val="ctr"/>
        <c:lblOffset val="100"/>
        <c:noMultiLvlLbl val="0"/>
      </c:catAx>
      <c:valAx>
        <c:axId val="77295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9527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101600</xdr:rowOff>
    </xdr:from>
    <xdr:to>
      <xdr:col>2</xdr:col>
      <xdr:colOff>1422400</xdr:colOff>
      <xdr:row>59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53C933-2018-D3E7-EB47-CA8872552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21</xdr:row>
      <xdr:rowOff>11430</xdr:rowOff>
    </xdr:from>
    <xdr:to>
      <xdr:col>8</xdr:col>
      <xdr:colOff>396240</xdr:colOff>
      <xdr:row>36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FE9457-A7B6-FCAA-C648-86AF17E6B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259080</xdr:colOff>
      <xdr:row>28</xdr:row>
      <xdr:rowOff>3810</xdr:rowOff>
    </xdr:from>
    <xdr:to>
      <xdr:col>8</xdr:col>
      <xdr:colOff>518160</xdr:colOff>
      <xdr:row>43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5E4F74-015C-5629-2E39-56F37F4EE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320040</xdr:colOff>
      <xdr:row>15</xdr:row>
      <xdr:rowOff>118110</xdr:rowOff>
    </xdr:from>
    <xdr:to>
      <xdr:col>7</xdr:col>
      <xdr:colOff>434340</xdr:colOff>
      <xdr:row>30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350E4F-9142-8AFB-9EF9-A799A5277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449580</xdr:colOff>
      <xdr:row>15</xdr:row>
      <xdr:rowOff>262890</xdr:rowOff>
    </xdr:from>
    <xdr:to>
      <xdr:col>6</xdr:col>
      <xdr:colOff>472440</xdr:colOff>
      <xdr:row>30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D5043C-7AAA-07E0-026A-E97D1C8BF2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434340</xdr:colOff>
      <xdr:row>9</xdr:row>
      <xdr:rowOff>57150</xdr:rowOff>
    </xdr:from>
    <xdr:to>
      <xdr:col>12</xdr:col>
      <xdr:colOff>53340</xdr:colOff>
      <xdr:row>24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04A4F0-6392-2D99-0636-7114694BDF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1150620</xdr:colOff>
      <xdr:row>15</xdr:row>
      <xdr:rowOff>163830</xdr:rowOff>
    </xdr:from>
    <xdr:to>
      <xdr:col>12</xdr:col>
      <xdr:colOff>396240</xdr:colOff>
      <xdr:row>30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C85E0A-F867-BD67-4DA7-03066E876A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. M. Tajamulla Abdulla Khan" id="{79570509-EF95-4CAA-9B78-0868259B4D37}" userId="053fa0a8ec6a60ca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6-05-15T06:19:04.11" personId="{79570509-EF95-4CAA-9B78-0868259B4D37}" id="{8DD2BD47-1A13-4431-95AD-372ABC85D93B}">
    <text xml:space="preserve">Purchase from Jai Hind 
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8123CBE-65ED-4C74-B5D5-E5E67A820E6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e5a61ac-3094-4c3e-a605-c118986867e7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9F605CC6-06D4-4209-8D52-6B4AEC55E971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C5779-D568-44DE-8D9F-054C69AF31F5}">
  <dimension ref="A1:D89"/>
  <sheetViews>
    <sheetView zoomScale="120" zoomScaleNormal="120" workbookViewId="0">
      <selection activeCell="C52" sqref="C52"/>
    </sheetView>
  </sheetViews>
  <sheetFormatPr defaultRowHeight="14.4" x14ac:dyDescent="0.3"/>
  <cols>
    <col min="1" max="1" width="27.77734375" customWidth="1"/>
    <col min="2" max="2" width="20.88671875" customWidth="1"/>
    <col min="3" max="3" width="27.77734375" customWidth="1"/>
    <col min="4" max="4" width="14.5546875" bestFit="1" customWidth="1"/>
  </cols>
  <sheetData>
    <row r="1" spans="1:4" x14ac:dyDescent="0.3">
      <c r="A1" s="135" t="s">
        <v>10</v>
      </c>
      <c r="B1" s="136"/>
      <c r="C1" s="137"/>
    </row>
    <row r="2" spans="1:4" ht="15" thickBot="1" x14ac:dyDescent="0.35">
      <c r="A2" s="138"/>
      <c r="B2" s="139"/>
      <c r="C2" s="140"/>
    </row>
    <row r="3" spans="1:4" x14ac:dyDescent="0.3">
      <c r="A3" s="24" t="s">
        <v>0</v>
      </c>
      <c r="B3" s="24" t="s">
        <v>8</v>
      </c>
      <c r="C3" s="26" t="s">
        <v>9</v>
      </c>
      <c r="D3" s="2" t="s">
        <v>14</v>
      </c>
    </row>
    <row r="4" spans="1:4" x14ac:dyDescent="0.3">
      <c r="A4" s="3">
        <v>46143</v>
      </c>
      <c r="B4" s="4">
        <v>67400</v>
      </c>
      <c r="C4" s="27">
        <v>1999334</v>
      </c>
      <c r="D4" s="5">
        <f>C4/B4</f>
        <v>29.663709198813056</v>
      </c>
    </row>
    <row r="5" spans="1:4" x14ac:dyDescent="0.3">
      <c r="A5" s="3">
        <v>46144</v>
      </c>
      <c r="B5" s="4">
        <v>89920</v>
      </c>
      <c r="C5" s="27">
        <v>2822308</v>
      </c>
      <c r="D5" s="5">
        <f t="shared" ref="D5:D8" si="0">C5/B5</f>
        <v>31.386877224199289</v>
      </c>
    </row>
    <row r="6" spans="1:4" x14ac:dyDescent="0.3">
      <c r="A6" s="3">
        <v>46145</v>
      </c>
      <c r="B6" s="4">
        <v>71680</v>
      </c>
      <c r="C6" s="27">
        <v>2256116</v>
      </c>
      <c r="D6" s="5">
        <f t="shared" si="0"/>
        <v>31.474832589285715</v>
      </c>
    </row>
    <row r="7" spans="1:4" x14ac:dyDescent="0.3">
      <c r="A7" s="3">
        <v>46146</v>
      </c>
      <c r="B7" s="4">
        <v>64066</v>
      </c>
      <c r="C7" s="27">
        <v>2099888</v>
      </c>
      <c r="D7" s="5">
        <f t="shared" si="0"/>
        <v>32.776948771579306</v>
      </c>
    </row>
    <row r="8" spans="1:4" x14ac:dyDescent="0.3">
      <c r="A8" s="3">
        <v>46147</v>
      </c>
      <c r="B8" s="4">
        <v>76110</v>
      </c>
      <c r="C8" s="27">
        <v>2140832</v>
      </c>
      <c r="D8" s="5">
        <f t="shared" si="0"/>
        <v>28.128130337669162</v>
      </c>
    </row>
    <row r="9" spans="1:4" x14ac:dyDescent="0.3">
      <c r="B9" s="4">
        <f>SUM(B4:B8)</f>
        <v>369176</v>
      </c>
      <c r="C9" s="5">
        <f>SUM(C4:C8)</f>
        <v>11318478</v>
      </c>
    </row>
    <row r="11" spans="1:4" ht="15" thickBot="1" x14ac:dyDescent="0.35"/>
    <row r="12" spans="1:4" x14ac:dyDescent="0.3">
      <c r="A12" s="135" t="s">
        <v>11</v>
      </c>
      <c r="B12" s="136"/>
      <c r="C12" s="137"/>
    </row>
    <row r="13" spans="1:4" ht="15" thickBot="1" x14ac:dyDescent="0.35">
      <c r="A13" s="138"/>
      <c r="B13" s="139"/>
      <c r="C13" s="140"/>
    </row>
    <row r="14" spans="1:4" x14ac:dyDescent="0.3">
      <c r="A14" s="24" t="s">
        <v>0</v>
      </c>
      <c r="B14" s="24" t="s">
        <v>12</v>
      </c>
      <c r="C14" s="24" t="s">
        <v>13</v>
      </c>
      <c r="D14" s="2" t="s">
        <v>14</v>
      </c>
    </row>
    <row r="15" spans="1:4" x14ac:dyDescent="0.3">
      <c r="A15" s="3">
        <v>46143</v>
      </c>
      <c r="B15" s="4">
        <v>0</v>
      </c>
      <c r="C15" s="5">
        <v>0</v>
      </c>
      <c r="D15" s="2" t="e">
        <f>C15/B15</f>
        <v>#DIV/0!</v>
      </c>
    </row>
    <row r="16" spans="1:4" x14ac:dyDescent="0.3">
      <c r="A16" s="3">
        <v>46144</v>
      </c>
      <c r="B16" s="4">
        <v>264430</v>
      </c>
      <c r="C16" s="5">
        <v>11872907</v>
      </c>
      <c r="D16" s="2">
        <f t="shared" ref="D16:D19" si="1">C16/B16</f>
        <v>44.9</v>
      </c>
    </row>
    <row r="17" spans="1:4" x14ac:dyDescent="0.3">
      <c r="A17" s="3">
        <v>46145</v>
      </c>
      <c r="B17" s="4">
        <v>0</v>
      </c>
      <c r="C17" s="5">
        <v>0</v>
      </c>
      <c r="D17" s="2" t="e">
        <f t="shared" si="1"/>
        <v>#DIV/0!</v>
      </c>
    </row>
    <row r="18" spans="1:4" x14ac:dyDescent="0.3">
      <c r="A18" s="3">
        <v>46146</v>
      </c>
      <c r="B18" s="4">
        <v>128790</v>
      </c>
      <c r="C18" s="5">
        <v>5782671</v>
      </c>
      <c r="D18" s="2">
        <f t="shared" si="1"/>
        <v>44.9</v>
      </c>
    </row>
    <row r="19" spans="1:4" x14ac:dyDescent="0.3">
      <c r="A19" s="3">
        <v>46147</v>
      </c>
      <c r="B19" s="4">
        <v>33590</v>
      </c>
      <c r="C19" s="5">
        <v>1508191</v>
      </c>
      <c r="D19" s="2">
        <f t="shared" si="1"/>
        <v>44.9</v>
      </c>
    </row>
    <row r="20" spans="1:4" x14ac:dyDescent="0.3">
      <c r="B20" s="4">
        <f>SUM(B15:B19)</f>
        <v>426810</v>
      </c>
      <c r="C20" s="5">
        <f>SUM(C15:C19)</f>
        <v>19163769</v>
      </c>
    </row>
    <row r="22" spans="1:4" ht="15" thickBot="1" x14ac:dyDescent="0.35"/>
    <row r="23" spans="1:4" x14ac:dyDescent="0.3">
      <c r="A23" s="135" t="s">
        <v>18</v>
      </c>
      <c r="B23" s="136"/>
      <c r="C23" s="136"/>
      <c r="D23" s="137"/>
    </row>
    <row r="24" spans="1:4" ht="15" thickBot="1" x14ac:dyDescent="0.35">
      <c r="A24" s="138"/>
      <c r="B24" s="139"/>
      <c r="C24" s="139"/>
      <c r="D24" s="140"/>
    </row>
    <row r="25" spans="1:4" x14ac:dyDescent="0.3">
      <c r="A25" s="24" t="s">
        <v>0</v>
      </c>
      <c r="B25" s="24" t="s">
        <v>19</v>
      </c>
      <c r="C25" s="26" t="s">
        <v>20</v>
      </c>
      <c r="D25" s="24" t="s">
        <v>14</v>
      </c>
    </row>
    <row r="26" spans="1:4" x14ac:dyDescent="0.3">
      <c r="A26" s="3">
        <v>46143</v>
      </c>
      <c r="B26" s="25">
        <v>0</v>
      </c>
      <c r="C26" s="27">
        <v>0</v>
      </c>
      <c r="D26" s="5" t="e">
        <f>C26/B26</f>
        <v>#DIV/0!</v>
      </c>
    </row>
    <row r="27" spans="1:4" x14ac:dyDescent="0.3">
      <c r="A27" s="3">
        <v>46144</v>
      </c>
      <c r="B27" s="25">
        <v>130090</v>
      </c>
      <c r="C27" s="1">
        <v>3655264</v>
      </c>
      <c r="D27" s="5">
        <f>C27/B27</f>
        <v>28.097962948727805</v>
      </c>
    </row>
    <row r="28" spans="1:4" x14ac:dyDescent="0.3">
      <c r="A28" s="3">
        <v>46145</v>
      </c>
      <c r="B28" s="25">
        <v>245370</v>
      </c>
      <c r="C28" s="27">
        <v>6542991</v>
      </c>
      <c r="D28" s="5">
        <f>C28/B28</f>
        <v>26.665814891796064</v>
      </c>
    </row>
    <row r="29" spans="1:4" x14ac:dyDescent="0.3">
      <c r="A29" s="3">
        <v>46146</v>
      </c>
      <c r="B29" s="25">
        <v>227070</v>
      </c>
      <c r="C29" s="27">
        <v>6259150</v>
      </c>
      <c r="D29" s="28">
        <f>C29/B29</f>
        <v>27.564847844277097</v>
      </c>
    </row>
    <row r="30" spans="1:4" x14ac:dyDescent="0.3">
      <c r="A30" s="3">
        <v>46147</v>
      </c>
      <c r="B30" s="25">
        <v>261210</v>
      </c>
      <c r="C30" s="27">
        <v>6919177</v>
      </c>
      <c r="D30" s="5">
        <f>C30/B30</f>
        <v>26.488943761724283</v>
      </c>
    </row>
    <row r="31" spans="1:4" x14ac:dyDescent="0.3">
      <c r="B31" s="25">
        <f>SUM(B26:B30)</f>
        <v>863740</v>
      </c>
      <c r="C31" s="5">
        <f>SUM(C26:C30)</f>
        <v>23376582</v>
      </c>
    </row>
    <row r="34" spans="1:4" x14ac:dyDescent="0.3">
      <c r="A34" s="80"/>
      <c r="B34" s="81"/>
      <c r="C34" s="1"/>
      <c r="D34" s="1"/>
    </row>
    <row r="35" spans="1:4" x14ac:dyDescent="0.3">
      <c r="A35" s="94"/>
      <c r="B35" s="95"/>
      <c r="C35" s="95"/>
      <c r="D35" s="95"/>
    </row>
    <row r="36" spans="1:4" x14ac:dyDescent="0.3">
      <c r="A36" s="80"/>
      <c r="B36" s="81"/>
      <c r="C36" s="5"/>
      <c r="D36" s="1"/>
    </row>
    <row r="37" spans="1:4" x14ac:dyDescent="0.3">
      <c r="A37" s="80"/>
      <c r="B37" s="81"/>
      <c r="C37" s="1"/>
      <c r="D37" s="79"/>
    </row>
    <row r="38" spans="1:4" x14ac:dyDescent="0.3">
      <c r="A38" s="80"/>
      <c r="B38" s="81"/>
      <c r="C38" s="1"/>
      <c r="D38" s="1"/>
    </row>
    <row r="39" spans="1:4" ht="15" thickBot="1" x14ac:dyDescent="0.35">
      <c r="A39" s="80"/>
      <c r="B39" s="81"/>
      <c r="C39" s="1"/>
      <c r="D39" s="1"/>
    </row>
    <row r="40" spans="1:4" x14ac:dyDescent="0.3">
      <c r="A40" s="127" t="s">
        <v>29</v>
      </c>
      <c r="B40" s="128" t="s">
        <v>94</v>
      </c>
      <c r="C40" s="1"/>
      <c r="D40" s="1"/>
    </row>
    <row r="41" spans="1:4" x14ac:dyDescent="0.3">
      <c r="A41" s="129" t="s">
        <v>95</v>
      </c>
      <c r="B41" s="14">
        <v>23376582</v>
      </c>
      <c r="C41" s="1"/>
      <c r="D41" s="79"/>
    </row>
    <row r="42" spans="1:4" ht="21" x14ac:dyDescent="0.4">
      <c r="A42" s="130" t="s">
        <v>96</v>
      </c>
      <c r="B42" s="14">
        <v>19163769</v>
      </c>
      <c r="C42" s="1"/>
      <c r="D42" s="1"/>
    </row>
    <row r="43" spans="1:4" x14ac:dyDescent="0.3">
      <c r="A43" s="129" t="s">
        <v>97</v>
      </c>
      <c r="B43" s="14">
        <v>11318478</v>
      </c>
      <c r="C43" s="1"/>
      <c r="D43" s="1"/>
    </row>
    <row r="44" spans="1:4" ht="15" thickBot="1" x14ac:dyDescent="0.35">
      <c r="A44" s="131"/>
      <c r="B44" s="132">
        <f>SUM(B41:B43)</f>
        <v>53858829</v>
      </c>
      <c r="D44" s="1"/>
    </row>
    <row r="45" spans="1:4" x14ac:dyDescent="0.3">
      <c r="B45" s="81"/>
      <c r="D45" s="79"/>
    </row>
    <row r="46" spans="1:4" x14ac:dyDescent="0.3">
      <c r="B46" s="81"/>
      <c r="D46" s="1"/>
    </row>
    <row r="47" spans="1:4" x14ac:dyDescent="0.3">
      <c r="B47" s="81"/>
    </row>
    <row r="48" spans="1:4" x14ac:dyDescent="0.3">
      <c r="B48" s="81"/>
    </row>
    <row r="62" spans="1:2" ht="21" x14ac:dyDescent="0.4">
      <c r="A62" s="23"/>
    </row>
    <row r="63" spans="1:2" x14ac:dyDescent="0.3">
      <c r="A63" s="94"/>
      <c r="B63" s="133"/>
    </row>
    <row r="64" spans="1:2" x14ac:dyDescent="0.3">
      <c r="A64" s="80"/>
      <c r="B64" s="1"/>
    </row>
    <row r="65" spans="1:2" x14ac:dyDescent="0.3">
      <c r="A65" s="80"/>
      <c r="B65" s="1"/>
    </row>
    <row r="66" spans="1:2" x14ac:dyDescent="0.3">
      <c r="A66" s="80"/>
      <c r="B66" s="1"/>
    </row>
    <row r="67" spans="1:2" x14ac:dyDescent="0.3">
      <c r="B67" s="1"/>
    </row>
    <row r="85" spans="1:2" ht="21.6" thickBot="1" x14ac:dyDescent="0.45">
      <c r="A85" s="96"/>
      <c r="B85" s="57"/>
    </row>
    <row r="86" spans="1:2" ht="15" thickBot="1" x14ac:dyDescent="0.35">
      <c r="A86" s="99"/>
      <c r="B86" s="100"/>
    </row>
    <row r="87" spans="1:2" x14ac:dyDescent="0.3">
      <c r="A87" s="97"/>
      <c r="B87" s="98"/>
    </row>
    <row r="88" spans="1:2" x14ac:dyDescent="0.3">
      <c r="A88" s="3"/>
      <c r="B88" s="5"/>
    </row>
    <row r="89" spans="1:2" x14ac:dyDescent="0.3">
      <c r="A89" s="3"/>
      <c r="B89" s="5"/>
    </row>
  </sheetData>
  <mergeCells count="3">
    <mergeCell ref="A1:C2"/>
    <mergeCell ref="A12:C13"/>
    <mergeCell ref="A23:D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821B2-6A53-4D22-B807-3C75A5B2745E}">
  <dimension ref="A1:H25"/>
  <sheetViews>
    <sheetView workbookViewId="0">
      <selection activeCell="A22" sqref="A22:B25"/>
    </sheetView>
  </sheetViews>
  <sheetFormatPr defaultRowHeight="14.4" x14ac:dyDescent="0.3"/>
  <cols>
    <col min="1" max="1" width="18.88671875" bestFit="1" customWidth="1"/>
    <col min="2" max="2" width="19.33203125" customWidth="1"/>
    <col min="3" max="3" width="12" bestFit="1" customWidth="1"/>
    <col min="4" max="4" width="18.33203125" customWidth="1"/>
  </cols>
  <sheetData>
    <row r="1" spans="1:8" ht="14.4" customHeight="1" x14ac:dyDescent="0.3">
      <c r="B1" s="141" t="s">
        <v>58</v>
      </c>
      <c r="C1" s="142"/>
      <c r="D1" s="142"/>
      <c r="E1" s="142"/>
      <c r="F1" s="142"/>
      <c r="G1" s="142"/>
      <c r="H1" s="142"/>
    </row>
    <row r="2" spans="1:8" ht="15" thickBot="1" x14ac:dyDescent="0.35">
      <c r="B2" s="141"/>
      <c r="C2" s="142"/>
      <c r="D2" s="142"/>
      <c r="E2" s="142"/>
      <c r="F2" s="142"/>
      <c r="G2" s="142"/>
      <c r="H2" s="142"/>
    </row>
    <row r="3" spans="1:8" ht="15" thickBot="1" x14ac:dyDescent="0.35">
      <c r="A3" s="67" t="s">
        <v>0</v>
      </c>
      <c r="B3" s="65" t="s">
        <v>56</v>
      </c>
      <c r="C3" s="56" t="s">
        <v>57</v>
      </c>
      <c r="D3" s="29" t="s">
        <v>59</v>
      </c>
      <c r="E3" s="67" t="s">
        <v>60</v>
      </c>
    </row>
    <row r="4" spans="1:8" x14ac:dyDescent="0.3">
      <c r="A4" s="71">
        <v>37012</v>
      </c>
      <c r="B4" s="29">
        <v>347180</v>
      </c>
      <c r="C4" s="29">
        <f>B4/1000</f>
        <v>347.18</v>
      </c>
      <c r="D4" s="73">
        <v>4000</v>
      </c>
      <c r="E4" s="38">
        <f>D4/1000</f>
        <v>4</v>
      </c>
    </row>
    <row r="5" spans="1:8" x14ac:dyDescent="0.3">
      <c r="A5" s="71">
        <v>37377</v>
      </c>
      <c r="B5" s="73">
        <v>369420</v>
      </c>
      <c r="C5" s="73">
        <f t="shared" ref="C5:C8" si="0">B5/1000</f>
        <v>369.42</v>
      </c>
      <c r="D5" s="73">
        <v>4100</v>
      </c>
      <c r="E5" s="38">
        <f t="shared" ref="E5:E8" si="1">D5/1000</f>
        <v>4.0999999999999996</v>
      </c>
    </row>
    <row r="6" spans="1:8" x14ac:dyDescent="0.3">
      <c r="A6" s="71">
        <v>37742</v>
      </c>
      <c r="B6" s="73">
        <v>374240</v>
      </c>
      <c r="C6" s="73">
        <f t="shared" si="0"/>
        <v>374.24</v>
      </c>
      <c r="D6" s="73">
        <v>4100</v>
      </c>
      <c r="E6" s="38">
        <f t="shared" si="1"/>
        <v>4.0999999999999996</v>
      </c>
    </row>
    <row r="7" spans="1:8" x14ac:dyDescent="0.3">
      <c r="A7" s="71">
        <v>38108</v>
      </c>
      <c r="B7" s="73">
        <v>328210</v>
      </c>
      <c r="C7" s="73">
        <f t="shared" si="0"/>
        <v>328.21</v>
      </c>
      <c r="D7" s="73">
        <v>3600</v>
      </c>
      <c r="E7" s="38">
        <f t="shared" si="1"/>
        <v>3.6</v>
      </c>
    </row>
    <row r="8" spans="1:8" ht="15" thickBot="1" x14ac:dyDescent="0.35">
      <c r="A8" s="72">
        <v>38473</v>
      </c>
      <c r="B8" s="74">
        <v>356150</v>
      </c>
      <c r="C8" s="74">
        <f t="shared" si="0"/>
        <v>356.15</v>
      </c>
      <c r="D8" s="74">
        <v>3900</v>
      </c>
      <c r="E8" s="41">
        <f t="shared" si="1"/>
        <v>3.9</v>
      </c>
    </row>
    <row r="9" spans="1:8" x14ac:dyDescent="0.3">
      <c r="C9" s="134">
        <f>SUM(C4:C8)</f>
        <v>1775.2000000000003</v>
      </c>
    </row>
    <row r="10" spans="1:8" x14ac:dyDescent="0.3">
      <c r="A10" s="143" t="s">
        <v>61</v>
      </c>
      <c r="B10" s="143"/>
      <c r="C10" s="143"/>
      <c r="D10" s="143"/>
    </row>
    <row r="11" spans="1:8" ht="15" thickBot="1" x14ac:dyDescent="0.35">
      <c r="A11" s="143"/>
      <c r="B11" s="143"/>
      <c r="C11" s="143"/>
      <c r="D11" s="143"/>
    </row>
    <row r="12" spans="1:8" ht="15" thickBot="1" x14ac:dyDescent="0.35">
      <c r="A12" s="67" t="s">
        <v>0</v>
      </c>
      <c r="B12" s="65" t="s">
        <v>62</v>
      </c>
      <c r="C12" s="65" t="s">
        <v>64</v>
      </c>
    </row>
    <row r="13" spans="1:8" x14ac:dyDescent="0.3">
      <c r="A13" s="71">
        <v>37012</v>
      </c>
      <c r="B13" s="29">
        <v>295</v>
      </c>
      <c r="C13" s="67">
        <f>C4-B13</f>
        <v>52.180000000000007</v>
      </c>
    </row>
    <row r="14" spans="1:8" x14ac:dyDescent="0.3">
      <c r="A14" s="71">
        <v>37377</v>
      </c>
      <c r="B14" s="73">
        <v>315</v>
      </c>
      <c r="C14" s="38">
        <f t="shared" ref="C14:C17" si="2">C5-B14</f>
        <v>54.420000000000016</v>
      </c>
    </row>
    <row r="15" spans="1:8" x14ac:dyDescent="0.3">
      <c r="A15" s="71">
        <v>37742</v>
      </c>
      <c r="B15" s="73">
        <v>315</v>
      </c>
      <c r="C15" s="38">
        <f t="shared" si="2"/>
        <v>59.240000000000009</v>
      </c>
    </row>
    <row r="16" spans="1:8" x14ac:dyDescent="0.3">
      <c r="A16" s="71">
        <v>38108</v>
      </c>
      <c r="B16" s="73">
        <v>267</v>
      </c>
      <c r="C16" s="38">
        <f t="shared" si="2"/>
        <v>61.20999999999998</v>
      </c>
    </row>
    <row r="17" spans="1:3" ht="15" thickBot="1" x14ac:dyDescent="0.35">
      <c r="A17" s="72">
        <v>38473</v>
      </c>
      <c r="B17" s="74">
        <v>298</v>
      </c>
      <c r="C17" s="41">
        <f t="shared" si="2"/>
        <v>58.149999999999977</v>
      </c>
    </row>
    <row r="18" spans="1:3" ht="15" thickBot="1" x14ac:dyDescent="0.35">
      <c r="B18" s="66">
        <f>SUM(B13:B17)</f>
        <v>1490</v>
      </c>
      <c r="C18" s="58">
        <f>SUM(C13:C17)</f>
        <v>285.2</v>
      </c>
    </row>
    <row r="22" spans="1:3" x14ac:dyDescent="0.3">
      <c r="A22" t="s">
        <v>100</v>
      </c>
      <c r="B22" t="s">
        <v>87</v>
      </c>
    </row>
    <row r="23" spans="1:3" x14ac:dyDescent="0.3">
      <c r="A23" t="s">
        <v>101</v>
      </c>
      <c r="B23">
        <v>1775</v>
      </c>
    </row>
    <row r="24" spans="1:3" x14ac:dyDescent="0.3">
      <c r="A24" t="s">
        <v>102</v>
      </c>
      <c r="B24">
        <v>1490</v>
      </c>
    </row>
    <row r="25" spans="1:3" x14ac:dyDescent="0.3">
      <c r="A25" t="s">
        <v>103</v>
      </c>
      <c r="B25">
        <v>285</v>
      </c>
    </row>
  </sheetData>
  <mergeCells count="2">
    <mergeCell ref="B1:H2"/>
    <mergeCell ref="A10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AB879-DB22-480F-867A-7448102267EB}">
  <dimension ref="A1:F8"/>
  <sheetViews>
    <sheetView workbookViewId="0">
      <selection activeCell="F2" sqref="F2:F7"/>
    </sheetView>
  </sheetViews>
  <sheetFormatPr defaultRowHeight="14.4" x14ac:dyDescent="0.3"/>
  <cols>
    <col min="2" max="3" width="14.109375" customWidth="1"/>
    <col min="4" max="4" width="18.6640625" customWidth="1"/>
    <col min="6" max="6" width="14.21875" customWidth="1"/>
  </cols>
  <sheetData>
    <row r="1" spans="1:6" ht="15" thickBot="1" x14ac:dyDescent="0.35">
      <c r="A1" t="s">
        <v>50</v>
      </c>
    </row>
    <row r="2" spans="1:6" ht="15" thickBot="1" x14ac:dyDescent="0.35">
      <c r="A2" s="67" t="s">
        <v>0</v>
      </c>
      <c r="B2" s="68" t="s">
        <v>51</v>
      </c>
      <c r="C2" s="63" t="s">
        <v>53</v>
      </c>
      <c r="D2" s="48" t="s">
        <v>52</v>
      </c>
      <c r="E2" s="63" t="s">
        <v>54</v>
      </c>
      <c r="F2" s="58" t="s">
        <v>55</v>
      </c>
    </row>
    <row r="3" spans="1:6" x14ac:dyDescent="0.3">
      <c r="A3" s="69">
        <v>37012</v>
      </c>
      <c r="B3" s="39">
        <v>295000</v>
      </c>
      <c r="C3" s="6">
        <f>B3/1000</f>
        <v>295</v>
      </c>
      <c r="D3" s="60">
        <v>135000</v>
      </c>
      <c r="E3" s="6">
        <f>D3/1000</f>
        <v>135</v>
      </c>
      <c r="F3" s="67">
        <f>C3+E3</f>
        <v>430</v>
      </c>
    </row>
    <row r="4" spans="1:6" x14ac:dyDescent="0.3">
      <c r="A4" s="69">
        <v>37377</v>
      </c>
      <c r="B4" s="39">
        <v>315000</v>
      </c>
      <c r="C4" s="6">
        <f t="shared" ref="C4:C7" si="0">B4/1000</f>
        <v>315</v>
      </c>
      <c r="D4" s="60">
        <v>141700</v>
      </c>
      <c r="E4" s="6">
        <f t="shared" ref="E4:E7" si="1">D4/1000</f>
        <v>141.69999999999999</v>
      </c>
      <c r="F4" s="38">
        <f t="shared" ref="F4:F7" si="2">C4+E4</f>
        <v>456.7</v>
      </c>
    </row>
    <row r="5" spans="1:6" x14ac:dyDescent="0.3">
      <c r="A5" s="69">
        <v>37742</v>
      </c>
      <c r="B5" s="39">
        <v>315000</v>
      </c>
      <c r="C5" s="6">
        <f t="shared" si="0"/>
        <v>315</v>
      </c>
      <c r="D5" s="60">
        <v>14100</v>
      </c>
      <c r="E5" s="6">
        <f t="shared" si="1"/>
        <v>14.1</v>
      </c>
      <c r="F5" s="38">
        <f t="shared" si="2"/>
        <v>329.1</v>
      </c>
    </row>
    <row r="6" spans="1:6" x14ac:dyDescent="0.3">
      <c r="A6" s="69">
        <v>38108</v>
      </c>
      <c r="B6" s="39">
        <v>267000</v>
      </c>
      <c r="C6" s="6">
        <f t="shared" si="0"/>
        <v>267</v>
      </c>
      <c r="D6" s="60">
        <v>116700</v>
      </c>
      <c r="E6" s="6">
        <f t="shared" si="1"/>
        <v>116.7</v>
      </c>
      <c r="F6" s="38">
        <f t="shared" si="2"/>
        <v>383.7</v>
      </c>
    </row>
    <row r="7" spans="1:6" ht="15" thickBot="1" x14ac:dyDescent="0.35">
      <c r="A7" s="70">
        <v>38473</v>
      </c>
      <c r="B7" s="42">
        <v>298000</v>
      </c>
      <c r="C7" s="64">
        <f t="shared" si="0"/>
        <v>298</v>
      </c>
      <c r="D7" s="50">
        <v>133300</v>
      </c>
      <c r="E7" s="64">
        <f t="shared" si="1"/>
        <v>133.30000000000001</v>
      </c>
      <c r="F7" s="41">
        <f t="shared" si="2"/>
        <v>431.3</v>
      </c>
    </row>
    <row r="8" spans="1:6" ht="15" thickBot="1" x14ac:dyDescent="0.35">
      <c r="C8" s="59">
        <f>SUM(C3:C7)</f>
        <v>1490</v>
      </c>
      <c r="E8" s="66">
        <f>SUM(E3:E7)</f>
        <v>540.79999999999995</v>
      </c>
      <c r="F8" s="58">
        <f>SUM(F3:F7)</f>
        <v>2030.8000000000002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9ACC2-A924-40DE-9F3A-6CCE31104B79}">
  <dimension ref="A1:E34"/>
  <sheetViews>
    <sheetView topLeftCell="A20" workbookViewId="0">
      <selection activeCell="A27" sqref="A27"/>
    </sheetView>
  </sheetViews>
  <sheetFormatPr defaultRowHeight="14.4" x14ac:dyDescent="0.3"/>
  <cols>
    <col min="1" max="1" width="29" customWidth="1"/>
    <col min="2" max="2" width="16.33203125" customWidth="1"/>
    <col min="3" max="3" width="12.88671875" bestFit="1" customWidth="1"/>
    <col min="5" max="5" width="14.44140625" bestFit="1" customWidth="1"/>
  </cols>
  <sheetData>
    <row r="1" spans="1:4" x14ac:dyDescent="0.3">
      <c r="A1" s="31" t="s">
        <v>21</v>
      </c>
      <c r="B1" s="32" t="s">
        <v>22</v>
      </c>
    </row>
    <row r="2" spans="1:4" x14ac:dyDescent="0.3">
      <c r="A2" s="30" t="s">
        <v>23</v>
      </c>
      <c r="B2" s="33">
        <v>120000000</v>
      </c>
    </row>
    <row r="3" spans="1:4" x14ac:dyDescent="0.3">
      <c r="A3" s="30" t="s">
        <v>24</v>
      </c>
      <c r="B3" s="33">
        <v>11000000</v>
      </c>
    </row>
    <row r="4" spans="1:4" x14ac:dyDescent="0.3">
      <c r="A4" s="30" t="s">
        <v>25</v>
      </c>
      <c r="B4" s="33">
        <v>131000000</v>
      </c>
    </row>
    <row r="5" spans="1:4" x14ac:dyDescent="0.3">
      <c r="A5" s="30" t="s">
        <v>26</v>
      </c>
      <c r="B5" s="33">
        <v>4366667</v>
      </c>
    </row>
    <row r="6" spans="1:4" x14ac:dyDescent="0.3">
      <c r="A6" s="30" t="s">
        <v>27</v>
      </c>
      <c r="B6" s="33">
        <v>21833335</v>
      </c>
    </row>
    <row r="9" spans="1:4" x14ac:dyDescent="0.3">
      <c r="A9" s="30" t="s">
        <v>65</v>
      </c>
      <c r="D9" t="s">
        <v>68</v>
      </c>
    </row>
    <row r="10" spans="1:4" ht="15" thickBot="1" x14ac:dyDescent="0.35">
      <c r="A10" s="76" t="s">
        <v>67</v>
      </c>
      <c r="B10" s="2" t="s">
        <v>66</v>
      </c>
      <c r="C10" s="57" t="s">
        <v>69</v>
      </c>
      <c r="D10" s="1">
        <v>7</v>
      </c>
    </row>
    <row r="11" spans="1:4" x14ac:dyDescent="0.3">
      <c r="A11" s="75">
        <v>37012</v>
      </c>
      <c r="B11" s="77">
        <v>237200</v>
      </c>
      <c r="C11" s="46">
        <f>B11*$D$10</f>
        <v>1660400</v>
      </c>
    </row>
    <row r="12" spans="1:4" x14ac:dyDescent="0.3">
      <c r="A12" s="71">
        <v>37377</v>
      </c>
      <c r="B12" s="78">
        <v>236900</v>
      </c>
      <c r="C12" s="40">
        <f>B12*$D$10</f>
        <v>1658300</v>
      </c>
    </row>
    <row r="13" spans="1:4" x14ac:dyDescent="0.3">
      <c r="A13" s="71">
        <v>37742</v>
      </c>
      <c r="B13" s="78">
        <v>248100</v>
      </c>
      <c r="C13" s="40">
        <f>B13*$D$10</f>
        <v>1736700</v>
      </c>
    </row>
    <row r="14" spans="1:4" x14ac:dyDescent="0.3">
      <c r="A14" s="71">
        <v>38108</v>
      </c>
      <c r="B14" s="78">
        <v>251000</v>
      </c>
      <c r="C14" s="40">
        <f>B14*$D$10</f>
        <v>1757000</v>
      </c>
    </row>
    <row r="15" spans="1:4" ht="15" thickBot="1" x14ac:dyDescent="0.35">
      <c r="A15" s="72">
        <v>38473</v>
      </c>
      <c r="B15" s="78">
        <v>221400</v>
      </c>
      <c r="C15" s="47">
        <f>B15*$D$10</f>
        <v>1549800</v>
      </c>
    </row>
    <row r="16" spans="1:4" x14ac:dyDescent="0.3">
      <c r="C16" s="1">
        <f>SUM(C11:C15)</f>
        <v>8362200</v>
      </c>
    </row>
    <row r="18" spans="1:5" x14ac:dyDescent="0.3">
      <c r="A18" s="30" t="s">
        <v>70</v>
      </c>
    </row>
    <row r="19" spans="1:5" ht="15" thickBot="1" x14ac:dyDescent="0.35">
      <c r="A19" s="76" t="s">
        <v>67</v>
      </c>
      <c r="B19" s="2" t="s">
        <v>66</v>
      </c>
      <c r="C19" s="57" t="s">
        <v>69</v>
      </c>
    </row>
    <row r="20" spans="1:5" x14ac:dyDescent="0.3">
      <c r="A20" s="75">
        <v>37012</v>
      </c>
      <c r="B20" s="77">
        <v>47000</v>
      </c>
      <c r="C20" s="46">
        <f>B20*$D$10</f>
        <v>329000</v>
      </c>
    </row>
    <row r="21" spans="1:5" x14ac:dyDescent="0.3">
      <c r="A21" s="71">
        <v>37377</v>
      </c>
      <c r="B21" s="78">
        <v>42000</v>
      </c>
      <c r="C21" s="40">
        <f>B21*$D$10</f>
        <v>294000</v>
      </c>
    </row>
    <row r="22" spans="1:5" x14ac:dyDescent="0.3">
      <c r="A22" s="71">
        <v>37742</v>
      </c>
      <c r="B22" s="78">
        <v>48600</v>
      </c>
      <c r="C22" s="40">
        <f>B22*$D$10</f>
        <v>340200</v>
      </c>
    </row>
    <row r="23" spans="1:5" x14ac:dyDescent="0.3">
      <c r="A23" s="71">
        <v>38108</v>
      </c>
      <c r="B23" s="78">
        <v>53200</v>
      </c>
      <c r="C23" s="40">
        <f>B23*$D$10</f>
        <v>372400</v>
      </c>
    </row>
    <row r="24" spans="1:5" ht="15" thickBot="1" x14ac:dyDescent="0.35">
      <c r="A24" s="72">
        <v>38473</v>
      </c>
      <c r="B24" s="78">
        <v>45100</v>
      </c>
      <c r="C24" s="47">
        <f>B24*$D$10</f>
        <v>315700</v>
      </c>
      <c r="E24" t="s">
        <v>78</v>
      </c>
    </row>
    <row r="25" spans="1:5" x14ac:dyDescent="0.3">
      <c r="C25" s="1">
        <f>SUM(C20:C24)</f>
        <v>1651300</v>
      </c>
      <c r="E25" s="1">
        <f>C16+C25</f>
        <v>10013500</v>
      </c>
    </row>
    <row r="29" spans="1:5" x14ac:dyDescent="0.3">
      <c r="A29" s="2" t="s">
        <v>104</v>
      </c>
      <c r="B29" s="2" t="s">
        <v>22</v>
      </c>
    </row>
    <row r="30" spans="1:5" x14ac:dyDescent="0.3">
      <c r="A30" s="2" t="s">
        <v>105</v>
      </c>
      <c r="B30" s="5">
        <v>11984000</v>
      </c>
    </row>
    <row r="31" spans="1:5" x14ac:dyDescent="0.3">
      <c r="A31" s="2" t="s">
        <v>106</v>
      </c>
      <c r="B31" s="5">
        <v>1665800</v>
      </c>
    </row>
    <row r="32" spans="1:5" x14ac:dyDescent="0.3">
      <c r="A32" s="2" t="s">
        <v>107</v>
      </c>
      <c r="B32" s="5">
        <v>1833333</v>
      </c>
    </row>
    <row r="33" spans="2:2" x14ac:dyDescent="0.3">
      <c r="B33" s="1">
        <f>SUM(B30:B32)</f>
        <v>15483133</v>
      </c>
    </row>
    <row r="34" spans="2:2" x14ac:dyDescent="0.3">
      <c r="B34" s="1">
        <f>B33/5</f>
        <v>3096626.6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60780-2CD1-4E16-ACC7-07E45CDBD462}">
  <dimension ref="A1:D24"/>
  <sheetViews>
    <sheetView workbookViewId="0">
      <selection activeCell="L17" sqref="L17"/>
    </sheetView>
  </sheetViews>
  <sheetFormatPr defaultRowHeight="14.4" x14ac:dyDescent="0.3"/>
  <cols>
    <col min="1" max="1" width="34.33203125" bestFit="1" customWidth="1"/>
    <col min="2" max="2" width="17.5546875" customWidth="1"/>
    <col min="3" max="3" width="20.44140625" customWidth="1"/>
    <col min="4" max="4" width="18.33203125" customWidth="1"/>
  </cols>
  <sheetData>
    <row r="1" spans="1:4" ht="18" x14ac:dyDescent="0.35">
      <c r="A1" s="34" t="s">
        <v>28</v>
      </c>
    </row>
    <row r="2" spans="1:4" ht="15" thickBot="1" x14ac:dyDescent="0.35"/>
    <row r="3" spans="1:4" x14ac:dyDescent="0.3">
      <c r="A3" s="35" t="s">
        <v>29</v>
      </c>
      <c r="B3" s="36" t="s">
        <v>30</v>
      </c>
      <c r="C3" s="37" t="s">
        <v>31</v>
      </c>
      <c r="D3" s="35" t="s">
        <v>32</v>
      </c>
    </row>
    <row r="4" spans="1:4" x14ac:dyDescent="0.3">
      <c r="A4" s="38" t="s">
        <v>33</v>
      </c>
      <c r="B4" s="39">
        <v>7</v>
      </c>
      <c r="C4" s="14">
        <v>32000</v>
      </c>
      <c r="D4" s="40">
        <f t="shared" ref="D4:D10" si="0">B4*C4</f>
        <v>224000</v>
      </c>
    </row>
    <row r="5" spans="1:4" x14ac:dyDescent="0.3">
      <c r="A5" s="38" t="s">
        <v>34</v>
      </c>
      <c r="B5" s="39">
        <v>24</v>
      </c>
      <c r="C5" s="14">
        <v>43000</v>
      </c>
      <c r="D5" s="40">
        <f t="shared" si="0"/>
        <v>1032000</v>
      </c>
    </row>
    <row r="6" spans="1:4" x14ac:dyDescent="0.3">
      <c r="A6" s="38" t="s">
        <v>35</v>
      </c>
      <c r="B6" s="39">
        <v>55</v>
      </c>
      <c r="C6" s="14">
        <v>42000</v>
      </c>
      <c r="D6" s="40">
        <f t="shared" si="0"/>
        <v>2310000</v>
      </c>
    </row>
    <row r="7" spans="1:4" x14ac:dyDescent="0.3">
      <c r="A7" s="38" t="s">
        <v>36</v>
      </c>
      <c r="B7" s="39">
        <v>70</v>
      </c>
      <c r="C7" s="14">
        <v>45000</v>
      </c>
      <c r="D7" s="40">
        <f t="shared" si="0"/>
        <v>3150000</v>
      </c>
    </row>
    <row r="8" spans="1:4" x14ac:dyDescent="0.3">
      <c r="A8" s="38" t="s">
        <v>37</v>
      </c>
      <c r="B8" s="39">
        <v>103</v>
      </c>
      <c r="C8" s="14">
        <v>3000</v>
      </c>
      <c r="D8" s="40">
        <f t="shared" si="0"/>
        <v>309000</v>
      </c>
    </row>
    <row r="9" spans="1:4" x14ac:dyDescent="0.3">
      <c r="A9" s="38" t="s">
        <v>38</v>
      </c>
      <c r="B9" s="39">
        <v>57</v>
      </c>
      <c r="C9" s="14">
        <v>3000</v>
      </c>
      <c r="D9" s="40">
        <f t="shared" si="0"/>
        <v>171000</v>
      </c>
    </row>
    <row r="10" spans="1:4" ht="15" thickBot="1" x14ac:dyDescent="0.35">
      <c r="A10" s="41" t="s">
        <v>39</v>
      </c>
      <c r="B10" s="42">
        <v>3.9</v>
      </c>
      <c r="C10" s="16">
        <v>55000</v>
      </c>
      <c r="D10" s="43">
        <f t="shared" si="0"/>
        <v>214500</v>
      </c>
    </row>
    <row r="11" spans="1:4" ht="15" thickBot="1" x14ac:dyDescent="0.35">
      <c r="A11" s="44" t="s">
        <v>40</v>
      </c>
      <c r="D11" s="45">
        <f>SUM(D4:D10)</f>
        <v>7410500</v>
      </c>
    </row>
    <row r="12" spans="1:4" ht="15" thickBot="1" x14ac:dyDescent="0.35"/>
    <row r="13" spans="1:4" ht="15" thickBot="1" x14ac:dyDescent="0.35">
      <c r="A13" s="35" t="s">
        <v>41</v>
      </c>
    </row>
    <row r="14" spans="1:4" x14ac:dyDescent="0.3">
      <c r="A14" s="38" t="s">
        <v>42</v>
      </c>
      <c r="B14" s="46">
        <v>240000</v>
      </c>
    </row>
    <row r="15" spans="1:4" x14ac:dyDescent="0.3">
      <c r="A15" s="38" t="s">
        <v>43</v>
      </c>
      <c r="B15" s="38">
        <v>7</v>
      </c>
    </row>
    <row r="16" spans="1:4" ht="15" thickBot="1" x14ac:dyDescent="0.35">
      <c r="A16" s="41" t="s">
        <v>44</v>
      </c>
      <c r="B16" s="47">
        <f>B14*B15</f>
        <v>1680000</v>
      </c>
    </row>
    <row r="17" spans="1:2" ht="15" thickBot="1" x14ac:dyDescent="0.35"/>
    <row r="18" spans="1:2" x14ac:dyDescent="0.3">
      <c r="A18" s="48" t="s">
        <v>45</v>
      </c>
      <c r="B18" s="49">
        <v>11000000</v>
      </c>
    </row>
    <row r="19" spans="1:2" ht="15" thickBot="1" x14ac:dyDescent="0.35">
      <c r="A19" s="50" t="s">
        <v>46</v>
      </c>
      <c r="B19" s="16">
        <f>B18/30</f>
        <v>366666.66666666669</v>
      </c>
    </row>
    <row r="20" spans="1:2" ht="15" thickBot="1" x14ac:dyDescent="0.35"/>
    <row r="21" spans="1:2" ht="15" thickBot="1" x14ac:dyDescent="0.35">
      <c r="A21" s="51" t="s">
        <v>47</v>
      </c>
      <c r="B21" s="52">
        <f>D11+B16+B19</f>
        <v>9457166.666666666</v>
      </c>
    </row>
    <row r="22" spans="1:2" ht="15" thickBot="1" x14ac:dyDescent="0.35"/>
    <row r="23" spans="1:2" x14ac:dyDescent="0.3">
      <c r="A23" s="48" t="s">
        <v>48</v>
      </c>
      <c r="B23" s="53">
        <v>282</v>
      </c>
    </row>
    <row r="24" spans="1:2" ht="15" thickBot="1" x14ac:dyDescent="0.35">
      <c r="A24" s="54" t="s">
        <v>49</v>
      </c>
      <c r="B24" s="55">
        <f>B21/B23</f>
        <v>33536.05200945626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9128D-FB3A-48DE-AC7D-3C17402B3106}">
  <dimension ref="A1:E23"/>
  <sheetViews>
    <sheetView topLeftCell="A8" workbookViewId="0">
      <selection activeCell="G10" sqref="G10"/>
    </sheetView>
  </sheetViews>
  <sheetFormatPr defaultRowHeight="14.4" x14ac:dyDescent="0.3"/>
  <cols>
    <col min="1" max="1" width="10.33203125" bestFit="1" customWidth="1"/>
    <col min="2" max="2" width="20.109375" customWidth="1"/>
    <col min="3" max="3" width="27.109375" bestFit="1" customWidth="1"/>
    <col min="4" max="4" width="11.21875" customWidth="1"/>
  </cols>
  <sheetData>
    <row r="1" spans="1:5" ht="36.6" customHeight="1" thickBot="1" x14ac:dyDescent="0.35">
      <c r="A1" s="83" t="s">
        <v>67</v>
      </c>
      <c r="B1" s="84" t="s">
        <v>71</v>
      </c>
      <c r="C1" s="84" t="s">
        <v>72</v>
      </c>
      <c r="D1" s="84" t="s">
        <v>73</v>
      </c>
      <c r="E1" s="85" t="s">
        <v>63</v>
      </c>
    </row>
    <row r="2" spans="1:5" x14ac:dyDescent="0.3">
      <c r="A2" s="90">
        <v>46143</v>
      </c>
      <c r="B2" s="68">
        <v>309.79300000000001</v>
      </c>
      <c r="C2" s="86">
        <v>296.88299999999998</v>
      </c>
      <c r="D2" s="87">
        <v>95.83</v>
      </c>
      <c r="E2" s="53">
        <f>D2-100</f>
        <v>-4.1700000000000017</v>
      </c>
    </row>
    <row r="3" spans="1:5" x14ac:dyDescent="0.3">
      <c r="A3" s="91">
        <v>46144</v>
      </c>
      <c r="B3" s="39">
        <v>409.17</v>
      </c>
      <c r="C3" s="2">
        <v>389.47</v>
      </c>
      <c r="D3" s="82">
        <v>95.19</v>
      </c>
      <c r="E3" s="61">
        <f t="shared" ref="E3:E6" si="0">D3-100</f>
        <v>-4.8100000000000023</v>
      </c>
    </row>
    <row r="4" spans="1:5" x14ac:dyDescent="0.3">
      <c r="A4" s="91">
        <v>46145</v>
      </c>
      <c r="B4" s="39">
        <v>404.19200000000001</v>
      </c>
      <c r="C4" s="2">
        <v>388.22500000000002</v>
      </c>
      <c r="D4" s="82">
        <v>96.05</v>
      </c>
      <c r="E4" s="61">
        <f t="shared" si="0"/>
        <v>-3.9500000000000028</v>
      </c>
    </row>
    <row r="5" spans="1:5" x14ac:dyDescent="0.3">
      <c r="A5" s="91">
        <v>46146</v>
      </c>
      <c r="B5" s="39">
        <v>319.51799999999997</v>
      </c>
      <c r="C5" s="2">
        <v>307.67</v>
      </c>
      <c r="D5" s="82">
        <v>96.29</v>
      </c>
      <c r="E5" s="61">
        <f t="shared" si="0"/>
        <v>-3.7099999999999937</v>
      </c>
    </row>
    <row r="6" spans="1:5" ht="15" thickBot="1" x14ac:dyDescent="0.35">
      <c r="A6" s="92">
        <v>46147</v>
      </c>
      <c r="B6" s="42">
        <v>377.93700000000001</v>
      </c>
      <c r="C6" s="88">
        <v>362.29500000000002</v>
      </c>
      <c r="D6" s="89">
        <v>95.86</v>
      </c>
      <c r="E6" s="62">
        <f t="shared" si="0"/>
        <v>-4.1400000000000006</v>
      </c>
    </row>
    <row r="9" spans="1:5" x14ac:dyDescent="0.3">
      <c r="B9" s="2" t="s">
        <v>55</v>
      </c>
      <c r="C9" s="2" t="s">
        <v>76</v>
      </c>
    </row>
    <row r="10" spans="1:5" x14ac:dyDescent="0.3">
      <c r="B10" s="2">
        <v>430</v>
      </c>
      <c r="C10" s="2">
        <f>B10-B2</f>
        <v>120.20699999999999</v>
      </c>
    </row>
    <row r="11" spans="1:5" x14ac:dyDescent="0.3">
      <c r="B11" s="2">
        <v>456.7</v>
      </c>
      <c r="C11" s="2">
        <f t="shared" ref="C11:C14" si="1">B11-B3</f>
        <v>47.529999999999973</v>
      </c>
    </row>
    <row r="12" spans="1:5" x14ac:dyDescent="0.3">
      <c r="B12" s="2">
        <v>329.1</v>
      </c>
      <c r="C12" s="2">
        <f>B12-B4</f>
        <v>-75.091999999999985</v>
      </c>
    </row>
    <row r="13" spans="1:5" x14ac:dyDescent="0.3">
      <c r="B13" s="2">
        <v>383.7</v>
      </c>
      <c r="C13" s="2">
        <f t="shared" si="1"/>
        <v>64.182000000000016</v>
      </c>
    </row>
    <row r="14" spans="1:5" x14ac:dyDescent="0.3">
      <c r="B14" s="2">
        <v>431.3</v>
      </c>
      <c r="C14" s="2">
        <f t="shared" si="1"/>
        <v>53.363</v>
      </c>
    </row>
    <row r="18" spans="1:2" x14ac:dyDescent="0.3">
      <c r="A18" t="s">
        <v>79</v>
      </c>
      <c r="B18" t="s">
        <v>98</v>
      </c>
    </row>
    <row r="19" spans="1:2" x14ac:dyDescent="0.3">
      <c r="A19" s="80">
        <v>46143</v>
      </c>
      <c r="B19">
        <v>95.83</v>
      </c>
    </row>
    <row r="20" spans="1:2" x14ac:dyDescent="0.3">
      <c r="A20" s="80">
        <v>46144</v>
      </c>
      <c r="B20">
        <v>95.19</v>
      </c>
    </row>
    <row r="21" spans="1:2" x14ac:dyDescent="0.3">
      <c r="A21" s="80">
        <v>46145</v>
      </c>
      <c r="B21">
        <v>96.05</v>
      </c>
    </row>
    <row r="22" spans="1:2" x14ac:dyDescent="0.3">
      <c r="A22" s="80">
        <v>46146</v>
      </c>
      <c r="B22">
        <v>96.29</v>
      </c>
    </row>
    <row r="23" spans="1:2" x14ac:dyDescent="0.3">
      <c r="A23" s="80">
        <v>46147</v>
      </c>
      <c r="B23">
        <v>95.86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8982A-D594-4919-8297-CD2773A459C3}">
  <dimension ref="A1:I42"/>
  <sheetViews>
    <sheetView workbookViewId="0">
      <selection activeCell="C13" sqref="C13"/>
    </sheetView>
  </sheetViews>
  <sheetFormatPr defaultRowHeight="14.4" x14ac:dyDescent="0.3"/>
  <cols>
    <col min="1" max="1" width="15.5546875" bestFit="1" customWidth="1"/>
    <col min="2" max="2" width="21.44140625" customWidth="1"/>
    <col min="3" max="3" width="15.6640625" customWidth="1"/>
    <col min="4" max="4" width="13.21875" bestFit="1" customWidth="1"/>
    <col min="5" max="5" width="16" bestFit="1" customWidth="1"/>
    <col min="6" max="7" width="23" bestFit="1" customWidth="1"/>
    <col min="8" max="8" width="21" bestFit="1" customWidth="1"/>
    <col min="9" max="9" width="15.44140625" bestFit="1" customWidth="1"/>
  </cols>
  <sheetData>
    <row r="1" spans="1:9" ht="14.4" customHeight="1" x14ac:dyDescent="0.3">
      <c r="B1" s="149" t="s">
        <v>7</v>
      </c>
      <c r="C1" s="150"/>
      <c r="D1" s="150"/>
      <c r="E1" s="150"/>
      <c r="F1" s="150"/>
      <c r="G1" s="150"/>
      <c r="H1" s="150"/>
      <c r="I1" s="150"/>
    </row>
    <row r="2" spans="1:9" ht="15" customHeight="1" thickBot="1" x14ac:dyDescent="0.35">
      <c r="B2" s="151"/>
      <c r="C2" s="152"/>
      <c r="D2" s="152"/>
      <c r="E2" s="152"/>
      <c r="F2" s="152"/>
      <c r="G2" s="152"/>
      <c r="H2" s="152"/>
      <c r="I2" s="152"/>
    </row>
    <row r="3" spans="1:9" ht="15" thickBot="1" x14ac:dyDescent="0.35">
      <c r="A3" s="6"/>
      <c r="B3" s="144" t="s">
        <v>5</v>
      </c>
      <c r="C3" s="145"/>
      <c r="D3" s="146"/>
      <c r="E3" s="144" t="s">
        <v>1</v>
      </c>
      <c r="F3" s="145"/>
      <c r="G3" s="146"/>
      <c r="H3" s="147" t="s">
        <v>17</v>
      </c>
      <c r="I3" s="148"/>
    </row>
    <row r="4" spans="1:9" x14ac:dyDescent="0.3">
      <c r="A4" s="6" t="s">
        <v>0</v>
      </c>
      <c r="B4" s="17" t="s">
        <v>2</v>
      </c>
      <c r="C4" s="18" t="s">
        <v>3</v>
      </c>
      <c r="D4" s="19" t="s">
        <v>4</v>
      </c>
      <c r="E4" s="17" t="s">
        <v>2</v>
      </c>
      <c r="F4" s="18" t="s">
        <v>3</v>
      </c>
      <c r="G4" s="67" t="s">
        <v>6</v>
      </c>
      <c r="H4" s="119" t="s">
        <v>15</v>
      </c>
      <c r="I4" s="24" t="s">
        <v>16</v>
      </c>
    </row>
    <row r="5" spans="1:9" x14ac:dyDescent="0.3">
      <c r="A5" s="7">
        <v>46143</v>
      </c>
      <c r="B5" s="8">
        <v>346720</v>
      </c>
      <c r="C5" s="9">
        <v>17530</v>
      </c>
      <c r="D5" s="12">
        <f>B5+C5</f>
        <v>364250</v>
      </c>
      <c r="E5" s="13">
        <v>18576309</v>
      </c>
      <c r="F5" s="14">
        <v>915845</v>
      </c>
      <c r="G5" s="40">
        <f>E5+F5</f>
        <v>19492154</v>
      </c>
      <c r="H5" s="102">
        <f>E5/B5</f>
        <v>53.577264074757728</v>
      </c>
      <c r="I5" s="5">
        <f>F5/C5</f>
        <v>52.244438106103821</v>
      </c>
    </row>
    <row r="6" spans="1:9" x14ac:dyDescent="0.3">
      <c r="A6" s="7">
        <v>46144</v>
      </c>
      <c r="B6" s="8">
        <v>224100</v>
      </c>
      <c r="C6" s="9">
        <v>52890</v>
      </c>
      <c r="D6" s="12">
        <f>B6+C6</f>
        <v>276990</v>
      </c>
      <c r="E6" s="13">
        <v>12071957</v>
      </c>
      <c r="F6" s="14">
        <v>2758599</v>
      </c>
      <c r="G6" s="40">
        <f t="shared" ref="G6:G9" si="0">E6+F6</f>
        <v>14830556</v>
      </c>
      <c r="H6" s="102">
        <f t="shared" ref="H6:H9" si="1">E6/B6</f>
        <v>53.868616688978136</v>
      </c>
      <c r="I6" s="5">
        <f t="shared" ref="I6:I9" si="2">F6/C6</f>
        <v>52.157288712422009</v>
      </c>
    </row>
    <row r="7" spans="1:9" x14ac:dyDescent="0.3">
      <c r="A7" s="7">
        <v>46145</v>
      </c>
      <c r="B7" s="8">
        <v>74880</v>
      </c>
      <c r="C7" s="9">
        <v>19980</v>
      </c>
      <c r="D7" s="12">
        <f>B7+C7</f>
        <v>94860</v>
      </c>
      <c r="E7" s="13">
        <v>4045833</v>
      </c>
      <c r="F7" s="14">
        <v>1033221</v>
      </c>
      <c r="G7" s="40">
        <f t="shared" si="0"/>
        <v>5079054</v>
      </c>
      <c r="H7" s="102">
        <f t="shared" si="1"/>
        <v>54.030889423076921</v>
      </c>
      <c r="I7" s="5">
        <f t="shared" si="2"/>
        <v>51.712762762762765</v>
      </c>
    </row>
    <row r="8" spans="1:9" x14ac:dyDescent="0.3">
      <c r="A8" s="7">
        <v>46146</v>
      </c>
      <c r="B8" s="8">
        <v>326380</v>
      </c>
      <c r="C8" s="9">
        <v>62010</v>
      </c>
      <c r="D8" s="12">
        <f>B8+C8</f>
        <v>388390</v>
      </c>
      <c r="E8" s="13">
        <v>17484957</v>
      </c>
      <c r="F8" s="14">
        <v>3131498</v>
      </c>
      <c r="G8" s="40">
        <f t="shared" si="0"/>
        <v>20616455</v>
      </c>
      <c r="H8" s="102">
        <f t="shared" si="1"/>
        <v>53.572391077884674</v>
      </c>
      <c r="I8" s="5">
        <f t="shared" si="2"/>
        <v>50.499887114981455</v>
      </c>
    </row>
    <row r="9" spans="1:9" ht="15" thickBot="1" x14ac:dyDescent="0.35">
      <c r="A9" s="7">
        <v>46147</v>
      </c>
      <c r="B9" s="10">
        <v>358310</v>
      </c>
      <c r="C9" s="11">
        <v>65280</v>
      </c>
      <c r="D9" s="20">
        <f>B9+C9</f>
        <v>423590</v>
      </c>
      <c r="E9" s="15">
        <v>19057325</v>
      </c>
      <c r="F9" s="16">
        <v>3290677</v>
      </c>
      <c r="G9" s="47">
        <f t="shared" si="0"/>
        <v>22348002</v>
      </c>
      <c r="H9" s="102">
        <f t="shared" si="1"/>
        <v>53.186695877871117</v>
      </c>
      <c r="I9" s="5">
        <f t="shared" si="2"/>
        <v>50.408655024509805</v>
      </c>
    </row>
    <row r="10" spans="1:9" ht="15" thickBot="1" x14ac:dyDescent="0.35">
      <c r="D10" s="21">
        <f>SUM(D5:D9)</f>
        <v>1548080</v>
      </c>
      <c r="E10" t="s">
        <v>77</v>
      </c>
      <c r="G10" s="22">
        <f>SUM(G5:G9)</f>
        <v>82366221</v>
      </c>
    </row>
    <row r="12" spans="1:9" ht="14.4" customHeight="1" x14ac:dyDescent="0.4">
      <c r="B12" s="23"/>
      <c r="C12" s="23"/>
      <c r="D12" s="23"/>
      <c r="E12" s="23"/>
      <c r="F12" s="23"/>
    </row>
    <row r="13" spans="1:9" ht="14.4" customHeight="1" x14ac:dyDescent="0.3">
      <c r="B13" t="s">
        <v>74</v>
      </c>
      <c r="C13">
        <f>D10/1000</f>
        <v>1548.08</v>
      </c>
      <c r="D13" t="s">
        <v>75</v>
      </c>
      <c r="G13" s="1"/>
    </row>
    <row r="14" spans="1:9" ht="15" customHeight="1" x14ac:dyDescent="0.4">
      <c r="B14" t="s">
        <v>6</v>
      </c>
      <c r="C14" s="1">
        <v>82366221</v>
      </c>
      <c r="E14" s="120">
        <f>C14/C13</f>
        <v>53205.403467521064</v>
      </c>
      <c r="F14" s="1">
        <f>G10/D10</f>
        <v>53.205403467521059</v>
      </c>
      <c r="G14" s="1">
        <f>F14*1000</f>
        <v>53205.403467521057</v>
      </c>
    </row>
    <row r="16" spans="1:9" ht="21" x14ac:dyDescent="0.4">
      <c r="B16" s="23"/>
    </row>
    <row r="19" spans="1:2" x14ac:dyDescent="0.3">
      <c r="B19" s="1"/>
    </row>
    <row r="20" spans="1:2" x14ac:dyDescent="0.3">
      <c r="A20" t="s">
        <v>79</v>
      </c>
      <c r="B20" t="s">
        <v>99</v>
      </c>
    </row>
    <row r="21" spans="1:2" x14ac:dyDescent="0.3">
      <c r="A21" s="80">
        <v>46143</v>
      </c>
      <c r="B21">
        <v>364.25</v>
      </c>
    </row>
    <row r="22" spans="1:2" x14ac:dyDescent="0.3">
      <c r="A22" s="80">
        <v>46144</v>
      </c>
      <c r="B22">
        <v>276.99</v>
      </c>
    </row>
    <row r="23" spans="1:2" x14ac:dyDescent="0.3">
      <c r="A23" s="80">
        <v>46145</v>
      </c>
      <c r="B23" s="118">
        <v>94.86</v>
      </c>
    </row>
    <row r="24" spans="1:2" x14ac:dyDescent="0.3">
      <c r="A24" s="80">
        <v>46146</v>
      </c>
      <c r="B24" s="118">
        <v>388.39</v>
      </c>
    </row>
    <row r="25" spans="1:2" x14ac:dyDescent="0.3">
      <c r="A25" s="80">
        <v>46147</v>
      </c>
      <c r="B25" s="118">
        <v>423.59</v>
      </c>
    </row>
    <row r="26" spans="1:2" x14ac:dyDescent="0.3">
      <c r="A26" s="80"/>
      <c r="B26" s="118"/>
    </row>
    <row r="27" spans="1:2" x14ac:dyDescent="0.3">
      <c r="A27" s="80"/>
      <c r="B27" s="118"/>
    </row>
    <row r="28" spans="1:2" x14ac:dyDescent="0.3">
      <c r="A28" s="80"/>
      <c r="B28" s="118"/>
    </row>
    <row r="36" spans="1:2" ht="25.8" x14ac:dyDescent="0.5">
      <c r="A36" s="93"/>
    </row>
    <row r="37" spans="1:2" x14ac:dyDescent="0.3">
      <c r="A37" s="6"/>
      <c r="B37" s="4"/>
    </row>
    <row r="38" spans="1:2" x14ac:dyDescent="0.3">
      <c r="A38" s="7"/>
      <c r="B38" s="5"/>
    </row>
    <row r="39" spans="1:2" x14ac:dyDescent="0.3">
      <c r="A39" s="7"/>
      <c r="B39" s="5"/>
    </row>
    <row r="40" spans="1:2" x14ac:dyDescent="0.3">
      <c r="A40" s="7"/>
      <c r="B40" s="5"/>
    </row>
    <row r="41" spans="1:2" x14ac:dyDescent="0.3">
      <c r="A41" s="7"/>
      <c r="B41" s="5"/>
    </row>
    <row r="42" spans="1:2" x14ac:dyDescent="0.3">
      <c r="A42" s="7"/>
      <c r="B42" s="5"/>
    </row>
  </sheetData>
  <mergeCells count="4">
    <mergeCell ref="B3:D3"/>
    <mergeCell ref="E3:G3"/>
    <mergeCell ref="H3:I3"/>
    <mergeCell ref="B1:I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397C-B422-4E3C-BA86-31A47A9D1596}">
  <dimension ref="A1:G34"/>
  <sheetViews>
    <sheetView topLeftCell="A13" zoomScale="130" workbookViewId="0">
      <selection activeCell="G7" sqref="G7"/>
    </sheetView>
  </sheetViews>
  <sheetFormatPr defaultRowHeight="14.4" x14ac:dyDescent="0.3"/>
  <cols>
    <col min="1" max="1" width="10.33203125" bestFit="1" customWidth="1"/>
    <col min="2" max="2" width="15.33203125" bestFit="1" customWidth="1"/>
    <col min="3" max="5" width="14.44140625" bestFit="1" customWidth="1"/>
    <col min="6" max="6" width="13.6640625" bestFit="1" customWidth="1"/>
    <col min="7" max="7" width="12" bestFit="1" customWidth="1"/>
  </cols>
  <sheetData>
    <row r="1" spans="1:7" ht="15" thickBot="1" x14ac:dyDescent="0.35">
      <c r="A1" s="58" t="s">
        <v>79</v>
      </c>
      <c r="B1" s="106" t="s">
        <v>80</v>
      </c>
      <c r="C1" s="107" t="s">
        <v>81</v>
      </c>
      <c r="D1" s="107" t="s">
        <v>82</v>
      </c>
      <c r="E1" s="107" t="s">
        <v>83</v>
      </c>
      <c r="F1" s="107" t="s">
        <v>84</v>
      </c>
      <c r="G1" s="108" t="s">
        <v>85</v>
      </c>
    </row>
    <row r="2" spans="1:7" x14ac:dyDescent="0.3">
      <c r="A2" s="104">
        <v>46143</v>
      </c>
      <c r="B2" s="105">
        <v>19492154</v>
      </c>
      <c r="C2" s="98">
        <v>12746000</v>
      </c>
      <c r="D2" s="98">
        <v>6746154</v>
      </c>
      <c r="E2" s="109">
        <v>4366667</v>
      </c>
      <c r="F2" s="46">
        <v>3005187</v>
      </c>
      <c r="G2" s="110">
        <v>0.1542</v>
      </c>
    </row>
    <row r="3" spans="1:7" x14ac:dyDescent="0.3">
      <c r="A3" s="91">
        <v>46144</v>
      </c>
      <c r="B3" s="102">
        <v>14830556</v>
      </c>
      <c r="C3" s="5">
        <v>9698000</v>
      </c>
      <c r="D3" s="5">
        <v>5132556</v>
      </c>
      <c r="E3" s="109">
        <v>4366667</v>
      </c>
      <c r="F3" s="40">
        <v>1391589</v>
      </c>
      <c r="G3" s="111">
        <v>9.3799999999999994E-2</v>
      </c>
    </row>
    <row r="4" spans="1:7" x14ac:dyDescent="0.3">
      <c r="A4" s="91">
        <v>46145</v>
      </c>
      <c r="B4" s="102">
        <v>5079054</v>
      </c>
      <c r="C4" s="5">
        <v>3322000</v>
      </c>
      <c r="D4" s="5">
        <v>1757054</v>
      </c>
      <c r="E4" s="109">
        <v>4366667</v>
      </c>
      <c r="F4" s="40">
        <v>-1983913</v>
      </c>
      <c r="G4" s="111">
        <v>-0.3906</v>
      </c>
    </row>
    <row r="5" spans="1:7" x14ac:dyDescent="0.3">
      <c r="A5" s="91">
        <v>46146</v>
      </c>
      <c r="B5" s="102">
        <v>20616455</v>
      </c>
      <c r="C5" s="5">
        <v>13486000</v>
      </c>
      <c r="D5" s="5">
        <v>7130455</v>
      </c>
      <c r="E5" s="109">
        <v>4366667</v>
      </c>
      <c r="F5" s="40">
        <v>3389488</v>
      </c>
      <c r="G5" s="111">
        <v>0.16439999999999999</v>
      </c>
    </row>
    <row r="6" spans="1:7" ht="15" thickBot="1" x14ac:dyDescent="0.35">
      <c r="A6" s="103">
        <v>46147</v>
      </c>
      <c r="B6" s="112">
        <v>22348002</v>
      </c>
      <c r="C6" s="101">
        <v>14622000</v>
      </c>
      <c r="D6" s="101">
        <v>7726002</v>
      </c>
      <c r="E6" s="109">
        <v>4366667</v>
      </c>
      <c r="F6" s="43">
        <v>3985035</v>
      </c>
      <c r="G6" s="113">
        <v>0.17829999999999999</v>
      </c>
    </row>
    <row r="7" spans="1:7" ht="15" thickBot="1" x14ac:dyDescent="0.35">
      <c r="A7" s="58" t="s">
        <v>86</v>
      </c>
      <c r="B7" s="114">
        <v>82366221</v>
      </c>
      <c r="C7" s="115">
        <v>53858829</v>
      </c>
      <c r="D7" s="115">
        <v>28507392</v>
      </c>
      <c r="E7" s="116">
        <f>SUM(E2:E6)</f>
        <v>21833335</v>
      </c>
      <c r="F7" s="22">
        <v>9802557</v>
      </c>
      <c r="G7" s="117">
        <v>0.11899999999999999</v>
      </c>
    </row>
    <row r="11" spans="1:7" x14ac:dyDescent="0.3">
      <c r="A11" s="2" t="s">
        <v>79</v>
      </c>
      <c r="B11" s="2" t="s">
        <v>84</v>
      </c>
    </row>
    <row r="12" spans="1:7" x14ac:dyDescent="0.3">
      <c r="A12" s="3">
        <v>46143</v>
      </c>
      <c r="B12" s="5">
        <v>3005187</v>
      </c>
    </row>
    <row r="13" spans="1:7" x14ac:dyDescent="0.3">
      <c r="A13" s="3">
        <v>46144</v>
      </c>
      <c r="B13" s="5">
        <v>1391589</v>
      </c>
    </row>
    <row r="14" spans="1:7" x14ac:dyDescent="0.3">
      <c r="A14" s="3">
        <v>46145</v>
      </c>
      <c r="B14" s="5">
        <v>-1983913</v>
      </c>
    </row>
    <row r="15" spans="1:7" x14ac:dyDescent="0.3">
      <c r="A15" s="3">
        <v>46146</v>
      </c>
      <c r="B15" s="5">
        <v>3389488</v>
      </c>
    </row>
    <row r="16" spans="1:7" x14ac:dyDescent="0.3">
      <c r="A16" s="3">
        <v>46147</v>
      </c>
      <c r="B16" s="5">
        <v>3985035</v>
      </c>
    </row>
    <row r="28" spans="1:1" x14ac:dyDescent="0.3">
      <c r="A28" t="s">
        <v>89</v>
      </c>
    </row>
    <row r="29" spans="1:1" x14ac:dyDescent="0.3">
      <c r="A29" t="s">
        <v>90</v>
      </c>
    </row>
    <row r="30" spans="1:1" x14ac:dyDescent="0.3">
      <c r="A30">
        <v>203</v>
      </c>
    </row>
    <row r="31" spans="1:1" x14ac:dyDescent="0.3">
      <c r="A31" t="s">
        <v>91</v>
      </c>
    </row>
    <row r="32" spans="1:1" x14ac:dyDescent="0.3">
      <c r="A32">
        <v>10807720</v>
      </c>
    </row>
    <row r="33" spans="1:1" x14ac:dyDescent="0.3">
      <c r="A33" t="s">
        <v>92</v>
      </c>
    </row>
    <row r="34" spans="1:1" x14ac:dyDescent="0.3">
      <c r="A34" t="s">
        <v>93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1992-D1F6-467A-B7A1-114E039DDB02}">
  <dimension ref="A2:J36"/>
  <sheetViews>
    <sheetView tabSelected="1" topLeftCell="A11" workbookViewId="0">
      <selection activeCell="H10" sqref="H10:J15"/>
    </sheetView>
  </sheetViews>
  <sheetFormatPr defaultRowHeight="14.4" x14ac:dyDescent="0.3"/>
  <cols>
    <col min="1" max="1" width="23.88671875" bestFit="1" customWidth="1"/>
    <col min="2" max="2" width="18.109375" customWidth="1"/>
    <col min="3" max="3" width="14.109375" customWidth="1"/>
    <col min="7" max="7" width="24.77734375" bestFit="1" customWidth="1"/>
    <col min="9" max="9" width="12.88671875" customWidth="1"/>
    <col min="10" max="10" width="13.33203125" customWidth="1"/>
  </cols>
  <sheetData>
    <row r="2" spans="1:10" x14ac:dyDescent="0.3">
      <c r="A2" t="s">
        <v>110</v>
      </c>
      <c r="B2" s="1">
        <v>82366221</v>
      </c>
    </row>
    <row r="3" spans="1:10" x14ac:dyDescent="0.3">
      <c r="A3" t="s">
        <v>111</v>
      </c>
      <c r="B3" s="118">
        <v>1548080</v>
      </c>
      <c r="C3" t="s">
        <v>112</v>
      </c>
    </row>
    <row r="4" spans="1:10" x14ac:dyDescent="0.3">
      <c r="B4" s="1"/>
    </row>
    <row r="5" spans="1:10" x14ac:dyDescent="0.3">
      <c r="B5" s="1"/>
    </row>
    <row r="6" spans="1:10" x14ac:dyDescent="0.3">
      <c r="A6" t="s">
        <v>108</v>
      </c>
    </row>
    <row r="7" spans="1:10" ht="15" thickBot="1" x14ac:dyDescent="0.35">
      <c r="A7" t="s">
        <v>109</v>
      </c>
      <c r="B7" s="1"/>
    </row>
    <row r="8" spans="1:10" ht="15" thickBot="1" x14ac:dyDescent="0.35">
      <c r="A8" s="66" t="s">
        <v>113</v>
      </c>
      <c r="B8" s="121">
        <f>B2/B3*1000</f>
        <v>53205.403467521057</v>
      </c>
    </row>
    <row r="10" spans="1:10" x14ac:dyDescent="0.3">
      <c r="A10" t="s">
        <v>114</v>
      </c>
      <c r="H10" t="s">
        <v>133</v>
      </c>
      <c r="I10" t="s">
        <v>134</v>
      </c>
      <c r="J10" t="s">
        <v>135</v>
      </c>
    </row>
    <row r="11" spans="1:10" x14ac:dyDescent="0.3">
      <c r="A11" t="s">
        <v>115</v>
      </c>
      <c r="B11" s="122">
        <v>53858829</v>
      </c>
      <c r="H11">
        <v>1</v>
      </c>
      <c r="I11">
        <v>364</v>
      </c>
      <c r="J11">
        <v>237</v>
      </c>
    </row>
    <row r="12" spans="1:10" x14ac:dyDescent="0.3">
      <c r="A12" t="s">
        <v>116</v>
      </c>
      <c r="B12">
        <v>1548.08</v>
      </c>
      <c r="H12">
        <v>2</v>
      </c>
      <c r="I12">
        <v>277</v>
      </c>
      <c r="J12">
        <v>237</v>
      </c>
    </row>
    <row r="13" spans="1:10" ht="15" thickBot="1" x14ac:dyDescent="0.35">
      <c r="B13" t="s">
        <v>117</v>
      </c>
      <c r="H13">
        <v>3</v>
      </c>
      <c r="I13">
        <v>95</v>
      </c>
      <c r="J13">
        <v>237</v>
      </c>
    </row>
    <row r="14" spans="1:10" ht="15" thickBot="1" x14ac:dyDescent="0.35">
      <c r="A14" t="s">
        <v>118</v>
      </c>
      <c r="B14" s="115">
        <f>B11/B12</f>
        <v>34790.727223399306</v>
      </c>
      <c r="H14">
        <v>4</v>
      </c>
      <c r="I14">
        <v>388</v>
      </c>
      <c r="J14">
        <v>237</v>
      </c>
    </row>
    <row r="15" spans="1:10" x14ac:dyDescent="0.3">
      <c r="H15">
        <v>5</v>
      </c>
      <c r="I15">
        <v>424</v>
      </c>
      <c r="J15">
        <v>237</v>
      </c>
    </row>
    <row r="16" spans="1:10" x14ac:dyDescent="0.3">
      <c r="A16" t="s">
        <v>119</v>
      </c>
    </row>
    <row r="17" spans="1:7" x14ac:dyDescent="0.3">
      <c r="A17" t="s">
        <v>120</v>
      </c>
    </row>
    <row r="18" spans="1:7" x14ac:dyDescent="0.3">
      <c r="B18" s="1"/>
    </row>
    <row r="19" spans="1:7" x14ac:dyDescent="0.3">
      <c r="B19" t="s">
        <v>121</v>
      </c>
      <c r="C19" s="1">
        <v>53205.403467521057</v>
      </c>
    </row>
    <row r="20" spans="1:7" ht="15" thickBot="1" x14ac:dyDescent="0.35">
      <c r="B20" t="s">
        <v>122</v>
      </c>
      <c r="C20" s="1">
        <v>34790.727223399306</v>
      </c>
    </row>
    <row r="21" spans="1:7" ht="15" thickBot="1" x14ac:dyDescent="0.35">
      <c r="C21" s="115">
        <f>C19-C20</f>
        <v>18414.676244121751</v>
      </c>
    </row>
    <row r="23" spans="1:7" x14ac:dyDescent="0.3">
      <c r="A23" t="s">
        <v>123</v>
      </c>
    </row>
    <row r="24" spans="1:7" x14ac:dyDescent="0.3">
      <c r="A24" t="s">
        <v>124</v>
      </c>
      <c r="B24" s="122">
        <v>120000000</v>
      </c>
    </row>
    <row r="25" spans="1:7" x14ac:dyDescent="0.3">
      <c r="A25" t="s">
        <v>125</v>
      </c>
      <c r="B25" s="122">
        <v>11000000</v>
      </c>
    </row>
    <row r="26" spans="1:7" x14ac:dyDescent="0.3">
      <c r="B26" s="122">
        <f>B24+B25</f>
        <v>131000000</v>
      </c>
    </row>
    <row r="27" spans="1:7" x14ac:dyDescent="0.3">
      <c r="A27" t="s">
        <v>126</v>
      </c>
      <c r="C27" s="123">
        <f>B26/30</f>
        <v>4366666.666666667</v>
      </c>
      <c r="D27" t="s">
        <v>129</v>
      </c>
    </row>
    <row r="28" spans="1:7" x14ac:dyDescent="0.3">
      <c r="G28" t="s">
        <v>88</v>
      </c>
    </row>
    <row r="30" spans="1:7" x14ac:dyDescent="0.3">
      <c r="A30" t="s">
        <v>127</v>
      </c>
    </row>
    <row r="31" spans="1:7" ht="15" thickBot="1" x14ac:dyDescent="0.35">
      <c r="B31" t="s">
        <v>128</v>
      </c>
    </row>
    <row r="32" spans="1:7" ht="15" thickBot="1" x14ac:dyDescent="0.35">
      <c r="A32" t="s">
        <v>129</v>
      </c>
      <c r="B32" s="126">
        <v>4366666.666666667</v>
      </c>
    </row>
    <row r="33" spans="1:3" ht="15" thickBot="1" x14ac:dyDescent="0.35">
      <c r="A33" t="s">
        <v>119</v>
      </c>
      <c r="B33" s="124">
        <v>18414.676244121751</v>
      </c>
    </row>
    <row r="34" spans="1:3" ht="15" thickBot="1" x14ac:dyDescent="0.35"/>
    <row r="35" spans="1:3" ht="15" thickBot="1" x14ac:dyDescent="0.35">
      <c r="A35" t="s">
        <v>130</v>
      </c>
      <c r="B35" s="125">
        <f>B32/B33</f>
        <v>237.12970072230158</v>
      </c>
      <c r="C35" t="s">
        <v>75</v>
      </c>
    </row>
    <row r="36" spans="1:3" ht="15" thickBot="1" x14ac:dyDescent="0.35">
      <c r="A36" t="s">
        <v>131</v>
      </c>
      <c r="B36" s="124">
        <f>B35*B8</f>
        <v>12616581.401062574</v>
      </c>
      <c r="C36" t="s">
        <v>132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purchase</vt:lpstr>
      <vt:lpstr>RM USEDand produced BILLET)</vt:lpstr>
      <vt:lpstr>Billet Production per 24 hrs</vt:lpstr>
      <vt:lpstr>operation cost </vt:lpstr>
      <vt:lpstr>1 ton billet production cost </vt:lpstr>
      <vt:lpstr>TMT production </vt:lpstr>
      <vt:lpstr>sales</vt:lpstr>
      <vt:lpstr>Profit Analysis </vt:lpstr>
      <vt:lpstr>Breakeven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M. Tajamulla Abdulla Khan</dc:creator>
  <cp:lastModifiedBy>K. M. Tajamulla Abdulla Khan</cp:lastModifiedBy>
  <dcterms:created xsi:type="dcterms:W3CDTF">2026-05-08T05:48:47Z</dcterms:created>
  <dcterms:modified xsi:type="dcterms:W3CDTF">2026-06-24T07:19:40Z</dcterms:modified>
</cp:coreProperties>
</file>