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3fa0a8ec6a60ca/Desktop/Internship @HSAPL/Project/"/>
    </mc:Choice>
  </mc:AlternateContent>
  <xr:revisionPtr revIDLastSave="643" documentId="8_{8638AAA7-D8BA-493C-854F-D42B7E422060}" xr6:coauthVersionLast="47" xr6:coauthVersionMax="47" xr10:uidLastSave="{F9432E42-F46D-4E1A-AAD0-6728051A7BF6}"/>
  <bookViews>
    <workbookView xWindow="-108" yWindow="-108" windowWidth="23256" windowHeight="12456" firstSheet="2" activeTab="7" xr2:uid="{DFA9722F-29A2-45AE-9F8D-315075C4CCFA}"/>
  </bookViews>
  <sheets>
    <sheet name="final dashboard " sheetId="14" r:id="rId1"/>
    <sheet name="purchase" sheetId="7" r:id="rId2"/>
    <sheet name="RM USEDand produced BILLET)" sheetId="11" r:id="rId3"/>
    <sheet name="Billet Production per 24 hrs" sheetId="10" r:id="rId4"/>
    <sheet name="operation cost " sheetId="8" r:id="rId5"/>
    <sheet name="1 ton billet production cost " sheetId="9" r:id="rId6"/>
    <sheet name="TMT production " sheetId="13" r:id="rId7"/>
    <sheet name="sales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1" l="1"/>
  <c r="B18" i="11"/>
  <c r="B15" i="14"/>
  <c r="B7" i="14"/>
  <c r="B67" i="7"/>
  <c r="B48" i="7"/>
  <c r="C12" i="13"/>
  <c r="C10" i="13"/>
  <c r="C11" i="13"/>
  <c r="C13" i="13"/>
  <c r="C14" i="13"/>
  <c r="E25" i="8"/>
  <c r="C25" i="8"/>
  <c r="C16" i="8"/>
  <c r="B39" i="7"/>
  <c r="C39" i="7"/>
  <c r="D38" i="7"/>
  <c r="B38" i="7"/>
  <c r="D37" i="7"/>
  <c r="B37" i="7"/>
  <c r="D36" i="7"/>
  <c r="C36" i="7"/>
  <c r="B36" i="7"/>
  <c r="B19" i="6"/>
  <c r="C13" i="6"/>
  <c r="E3" i="13"/>
  <c r="E4" i="13"/>
  <c r="E5" i="13"/>
  <c r="E6" i="13"/>
  <c r="E2" i="13"/>
  <c r="C20" i="8"/>
  <c r="C24" i="8"/>
  <c r="C23" i="8"/>
  <c r="C22" i="8"/>
  <c r="C21" i="8"/>
  <c r="C12" i="8"/>
  <c r="C13" i="8"/>
  <c r="C14" i="8"/>
  <c r="C15" i="8"/>
  <c r="C11" i="8"/>
  <c r="C14" i="11"/>
  <c r="C15" i="11"/>
  <c r="C16" i="11"/>
  <c r="C17" i="11"/>
  <c r="C13" i="11"/>
  <c r="E5" i="11"/>
  <c r="E6" i="11"/>
  <c r="E7" i="11"/>
  <c r="E8" i="11"/>
  <c r="E4" i="11"/>
  <c r="C5" i="11"/>
  <c r="C6" i="11"/>
  <c r="C7" i="11"/>
  <c r="C8" i="11"/>
  <c r="C4" i="11"/>
  <c r="F8" i="10"/>
  <c r="F4" i="10"/>
  <c r="F5" i="10"/>
  <c r="F6" i="10"/>
  <c r="F7" i="10"/>
  <c r="F3" i="10"/>
  <c r="E8" i="10"/>
  <c r="C8" i="10"/>
  <c r="E4" i="10"/>
  <c r="E5" i="10"/>
  <c r="E6" i="10"/>
  <c r="E7" i="10"/>
  <c r="E3" i="10"/>
  <c r="C4" i="10"/>
  <c r="C5" i="10"/>
  <c r="C6" i="10"/>
  <c r="C7" i="10"/>
  <c r="C3" i="10"/>
  <c r="B21" i="9"/>
  <c r="B24" i="9" s="1"/>
  <c r="B19" i="9"/>
  <c r="B16" i="9"/>
  <c r="D11" i="9"/>
  <c r="D10" i="9"/>
  <c r="D9" i="9"/>
  <c r="D8" i="9"/>
  <c r="D7" i="9"/>
  <c r="D6" i="9"/>
  <c r="D5" i="9"/>
  <c r="D4" i="9"/>
  <c r="D5" i="7"/>
  <c r="D6" i="7"/>
  <c r="D7" i="7"/>
  <c r="D8" i="7"/>
  <c r="D4" i="7"/>
  <c r="D16" i="7"/>
  <c r="D17" i="7"/>
  <c r="D18" i="7"/>
  <c r="D19" i="7"/>
  <c r="D15" i="7"/>
  <c r="D28" i="7"/>
  <c r="D27" i="7"/>
  <c r="C31" i="7"/>
  <c r="B31" i="7"/>
  <c r="D30" i="7"/>
  <c r="D29" i="7"/>
  <c r="D26" i="7"/>
  <c r="I6" i="6"/>
  <c r="I7" i="6"/>
  <c r="I8" i="6"/>
  <c r="I9" i="6"/>
  <c r="I5" i="6"/>
  <c r="H6" i="6"/>
  <c r="H7" i="6"/>
  <c r="H8" i="6"/>
  <c r="H9" i="6"/>
  <c r="H5" i="6"/>
  <c r="C20" i="7"/>
  <c r="B20" i="7"/>
  <c r="C9" i="7"/>
  <c r="B9" i="7"/>
  <c r="G6" i="6"/>
  <c r="G7" i="6"/>
  <c r="G8" i="6"/>
  <c r="G9" i="6"/>
  <c r="G5" i="6"/>
  <c r="D6" i="6"/>
  <c r="D7" i="6"/>
  <c r="D8" i="6"/>
  <c r="D9" i="6"/>
  <c r="D5" i="6"/>
  <c r="D10" i="6" l="1"/>
  <c r="G1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tc={8DD2BD47-1A13-4431-95AD-372ABC85D93B}</author>
  </authors>
  <commentList>
    <comment ref="D2" authorId="0" shapeId="0" xr:uid="{8DD2BD47-1A13-4431-95AD-372ABC85D93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Purchase from Jai Hind 
</t>
      </text>
    </comment>
  </commentList>
</comments>
</file>

<file path=xl/sharedStrings.xml><?xml version="1.0" encoding="utf-8"?>
<sst xmlns="http://schemas.openxmlformats.org/spreadsheetml/2006/main" count="145" uniqueCount="94">
  <si>
    <t xml:space="preserve">Date </t>
  </si>
  <si>
    <t xml:space="preserve">sales value </t>
  </si>
  <si>
    <t>NXT</t>
  </si>
  <si>
    <t>KAY2</t>
  </si>
  <si>
    <t xml:space="preserve">total day sales </t>
  </si>
  <si>
    <t xml:space="preserve">sales Quantity </t>
  </si>
  <si>
    <t xml:space="preserve">total sales value </t>
  </si>
  <si>
    <t xml:space="preserve">TMT bars Sales </t>
  </si>
  <si>
    <t xml:space="preserve">scrap purchase  quantity </t>
  </si>
  <si>
    <t xml:space="preserve">Scrap purchase value </t>
  </si>
  <si>
    <t>Turning Boring and other Scrap (PURCHASE)</t>
  </si>
  <si>
    <t>Ingots and Billets - Rolling Div(PURCHASE)</t>
  </si>
  <si>
    <t xml:space="preserve">Ingots and Billets purchase quantity </t>
  </si>
  <si>
    <t xml:space="preserve">Ingots and Billets purchase value </t>
  </si>
  <si>
    <t xml:space="preserve">per KG Value </t>
  </si>
  <si>
    <t xml:space="preserve">price per KG NXT </t>
  </si>
  <si>
    <t>price per KG KAY2</t>
  </si>
  <si>
    <t xml:space="preserve">price </t>
  </si>
  <si>
    <t xml:space="preserve">Sponge Iron (purchase ) </t>
  </si>
  <si>
    <t xml:space="preserve">Sponge Iron purchase quantity </t>
  </si>
  <si>
    <t xml:space="preserve"> Sponge Iron purchase  value </t>
  </si>
  <si>
    <t>Particulars</t>
  </si>
  <si>
    <t>Amount</t>
  </si>
  <si>
    <t>Monthly Electricity Cost</t>
  </si>
  <si>
    <t>Monthly Labour Cost</t>
  </si>
  <si>
    <t>Total Monthly Operational Cost</t>
  </si>
  <si>
    <t>Estimated Daily Operational Cost</t>
  </si>
  <si>
    <t>Estimated 5-Day Operational Cost</t>
  </si>
  <si>
    <t xml:space="preserve">Billet Production Cost Analysis </t>
  </si>
  <si>
    <t>Material</t>
  </si>
  <si>
    <t>Quantity (Ton)</t>
  </si>
  <si>
    <t>Avg Rate/Ton (₹)</t>
  </si>
  <si>
    <t>Total Cost (₹)</t>
  </si>
  <si>
    <t>CI Boring</t>
  </si>
  <si>
    <t>Rolling Scrap</t>
  </si>
  <si>
    <t>Scrap</t>
  </si>
  <si>
    <t>CR Bundle</t>
  </si>
  <si>
    <t>Pellets</t>
  </si>
  <si>
    <t>Lumps</t>
  </si>
  <si>
    <t>Manganese</t>
  </si>
  <si>
    <t>Total Raw Material Cost</t>
  </si>
  <si>
    <t>Electricity Details</t>
  </si>
  <si>
    <t>Power Consumption (Units)</t>
  </si>
  <si>
    <t>Rate per Unit (₹)</t>
  </si>
  <si>
    <t>Electricity Cost</t>
  </si>
  <si>
    <t xml:space="preserve">Labour Cost per Month </t>
  </si>
  <si>
    <t xml:space="preserve">Labour cost per day </t>
  </si>
  <si>
    <t>Total Production Cost</t>
  </si>
  <si>
    <t>Total Billet Production (Ton)</t>
  </si>
  <si>
    <t>Cost Per Ton Billet (₹)</t>
  </si>
  <si>
    <t xml:space="preserve">Billet Production per day for 2 factories </t>
  </si>
  <si>
    <t xml:space="preserve">Hindupur steel </t>
  </si>
  <si>
    <t xml:space="preserve">Jai Hind Rolling mill </t>
  </si>
  <si>
    <t>per ton</t>
  </si>
  <si>
    <t xml:space="preserve">per ton </t>
  </si>
  <si>
    <t>total production</t>
  </si>
  <si>
    <t>RM Used In Kgs</t>
  </si>
  <si>
    <t xml:space="preserve">in tons </t>
  </si>
  <si>
    <t xml:space="preserve">Raw material used for production for production of BILLET in Hindupur steels (All typrs of Raw materials) and billet produced on that dates </t>
  </si>
  <si>
    <t>Manganese used Kgs</t>
  </si>
  <si>
    <t>in tons</t>
  </si>
  <si>
    <t>Billet Produced</t>
  </si>
  <si>
    <t xml:space="preserve">production in(tons) </t>
  </si>
  <si>
    <t xml:space="preserve">wastage </t>
  </si>
  <si>
    <t>wastage(slag)</t>
  </si>
  <si>
    <t>power consumption (furnace)</t>
  </si>
  <si>
    <t xml:space="preserve">units </t>
  </si>
  <si>
    <t xml:space="preserve">date </t>
  </si>
  <si>
    <t xml:space="preserve">power cost per unit </t>
  </si>
  <si>
    <t xml:space="preserve">total cost </t>
  </si>
  <si>
    <t xml:space="preserve">power consumption rolling Mill </t>
  </si>
  <si>
    <t>Billet used for production (tons)</t>
  </si>
  <si>
    <t>TMT produced (in tons)</t>
  </si>
  <si>
    <t xml:space="preserve">percentage procured </t>
  </si>
  <si>
    <t xml:space="preserve">Total sales quantity </t>
  </si>
  <si>
    <t xml:space="preserve">tons </t>
  </si>
  <si>
    <t>Average Sales Price per KG</t>
  </si>
  <si>
    <t>Total Sales Quantity/Total Sales Value​</t>
  </si>
  <si>
    <t>“Daily Sales Trend”</t>
  </si>
  <si>
    <t>total day sales  quantity (tons)</t>
  </si>
  <si>
    <t xml:space="preserve">total day sales value </t>
  </si>
  <si>
    <t>“Daily Sales Revenue”</t>
  </si>
  <si>
    <t>Material Name</t>
  </si>
  <si>
    <t>Total Purchase Value</t>
  </si>
  <si>
    <t>Avg Price/KG</t>
  </si>
  <si>
    <t>Sponge Iron</t>
  </si>
  <si>
    <t xml:space="preserve">dated 1-5 may </t>
  </si>
  <si>
    <t>Ingots and Billets - Rolling Div</t>
  </si>
  <si>
    <t>Turning Boring and other Scrap</t>
  </si>
  <si>
    <t xml:space="preserve">This material is purchases most </t>
  </si>
  <si>
    <t>Total Qty(tons)</t>
  </si>
  <si>
    <t>“Raw Material Quantity Analysis”</t>
  </si>
  <si>
    <t>Material-wise Price Comparison</t>
  </si>
  <si>
    <t>Material-wise Purchase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</si>
</sst>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₹&quot;\ #,##0;[Red]&quot;₹&quot;\ \-#,##0"/>
    <numFmt numFmtId="164" formatCode="&quot;₹&quot;\ #,##0.00"/>
    <numFmt numFmtId="165" formatCode="0.000"/>
    <numFmt numFmtId="166" formatCode="&quot;₹&quot;\ #,##0.000"/>
  </numFmts>
  <fonts count="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3">
    <xf numFmtId="0" fontId="0" fillId="0" borderId="0" xfId="0"/>
    <xf numFmtId="164" fontId="0" fillId="0" borderId="0" xfId="0" applyNumberFormat="1"/>
    <xf numFmtId="0" fontId="0" fillId="0" borderId="1" xfId="0" applyBorder="1"/>
    <xf numFmtId="14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0" fillId="0" borderId="3" xfId="0" applyBorder="1"/>
    <xf numFmtId="14" fontId="0" fillId="0" borderId="3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2" fontId="0" fillId="0" borderId="17" xfId="0" applyNumberFormat="1" applyBorder="1"/>
    <xf numFmtId="2" fontId="0" fillId="0" borderId="2" xfId="0" applyNumberFormat="1" applyBorder="1"/>
    <xf numFmtId="164" fontId="0" fillId="0" borderId="2" xfId="0" applyNumberFormat="1" applyBorder="1"/>
    <xf numFmtId="0" fontId="1" fillId="0" borderId="0" xfId="0" applyFont="1"/>
    <xf numFmtId="0" fontId="0" fillId="0" borderId="24" xfId="0" applyBorder="1"/>
    <xf numFmtId="165" fontId="0" fillId="0" borderId="1" xfId="0" applyNumberFormat="1" applyBorder="1"/>
    <xf numFmtId="0" fontId="0" fillId="0" borderId="27" xfId="0" applyBorder="1"/>
    <xf numFmtId="164" fontId="0" fillId="0" borderId="3" xfId="0" applyNumberFormat="1" applyBorder="1"/>
    <xf numFmtId="166" fontId="0" fillId="0" borderId="1" xfId="0" applyNumberFormat="1" applyBorder="1"/>
    <xf numFmtId="0" fontId="0" fillId="0" borderId="28" xfId="0" applyBorder="1"/>
    <xf numFmtId="164" fontId="0" fillId="0" borderId="29" xfId="0" applyNumberFormat="1" applyBorder="1"/>
    <xf numFmtId="164" fontId="0" fillId="0" borderId="30" xfId="0" applyNumberFormat="1" applyBorder="1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6" fontId="0" fillId="0" borderId="0" xfId="0" applyNumberFormat="1" applyAlignment="1">
      <alignment horizontal="right" vertical="center"/>
    </xf>
    <xf numFmtId="0" fontId="4" fillId="0" borderId="0" xfId="0" applyFont="1"/>
    <xf numFmtId="0" fontId="5" fillId="0" borderId="33" xfId="0" applyFont="1" applyBorder="1"/>
    <xf numFmtId="0" fontId="5" fillId="0" borderId="34" xfId="0" applyFont="1" applyBorder="1"/>
    <xf numFmtId="0" fontId="5" fillId="0" borderId="5" xfId="0" applyFont="1" applyBorder="1"/>
    <xf numFmtId="0" fontId="0" fillId="0" borderId="35" xfId="0" applyBorder="1"/>
    <xf numFmtId="0" fontId="0" fillId="0" borderId="36" xfId="0" applyBorder="1"/>
    <xf numFmtId="164" fontId="0" fillId="0" borderId="35" xfId="0" applyNumberFormat="1" applyBorder="1"/>
    <xf numFmtId="0" fontId="0" fillId="0" borderId="37" xfId="0" applyBorder="1"/>
    <xf numFmtId="0" fontId="0" fillId="0" borderId="38" xfId="0" applyBorder="1"/>
    <xf numFmtId="164" fontId="0" fillId="0" borderId="39" xfId="0" applyNumberFormat="1" applyBorder="1"/>
    <xf numFmtId="0" fontId="5" fillId="0" borderId="2" xfId="0" applyFont="1" applyBorder="1"/>
    <xf numFmtId="164" fontId="5" fillId="0" borderId="2" xfId="0" applyNumberFormat="1" applyFont="1" applyBorder="1"/>
    <xf numFmtId="164" fontId="0" fillId="0" borderId="33" xfId="0" applyNumberFormat="1" applyBorder="1"/>
    <xf numFmtId="164" fontId="0" fillId="0" borderId="37" xfId="0" applyNumberFormat="1" applyBorder="1"/>
    <xf numFmtId="0" fontId="0" fillId="0" borderId="4" xfId="0" applyBorder="1"/>
    <xf numFmtId="164" fontId="0" fillId="0" borderId="5" xfId="0" applyNumberFormat="1" applyBorder="1"/>
    <xf numFmtId="0" fontId="0" fillId="0" borderId="8" xfId="0" applyBorder="1"/>
    <xf numFmtId="0" fontId="5" fillId="0" borderId="14" xfId="0" applyFont="1" applyBorder="1"/>
    <xf numFmtId="164" fontId="5" fillId="0" borderId="16" xfId="0" applyNumberFormat="1" applyFont="1" applyBorder="1"/>
    <xf numFmtId="0" fontId="0" fillId="0" borderId="5" xfId="0" applyBorder="1"/>
    <xf numFmtId="0" fontId="5" fillId="0" borderId="8" xfId="0" applyFont="1" applyBorder="1"/>
    <xf numFmtId="164" fontId="5" fillId="0" borderId="9" xfId="0" applyNumberFormat="1" applyFont="1" applyBorder="1"/>
    <xf numFmtId="0" fontId="0" fillId="0" borderId="19" xfId="0" applyBorder="1"/>
    <xf numFmtId="0" fontId="0" fillId="0" borderId="41" xfId="0" applyBorder="1"/>
    <xf numFmtId="0" fontId="0" fillId="0" borderId="2" xfId="0" applyBorder="1"/>
    <xf numFmtId="0" fontId="0" fillId="0" borderId="42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31" xfId="0" applyBorder="1"/>
    <xf numFmtId="0" fontId="0" fillId="0" borderId="33" xfId="0" applyBorder="1"/>
    <xf numFmtId="0" fontId="0" fillId="0" borderId="34" xfId="0" applyBorder="1"/>
    <xf numFmtId="17" fontId="0" fillId="0" borderId="35" xfId="0" applyNumberFormat="1" applyBorder="1"/>
    <xf numFmtId="17" fontId="0" fillId="0" borderId="37" xfId="0" applyNumberFormat="1" applyBorder="1"/>
    <xf numFmtId="17" fontId="0" fillId="0" borderId="29" xfId="0" applyNumberFormat="1" applyBorder="1"/>
    <xf numFmtId="17" fontId="0" fillId="0" borderId="30" xfId="0" applyNumberFormat="1" applyBorder="1"/>
    <xf numFmtId="0" fontId="0" fillId="0" borderId="29" xfId="0" applyBorder="1"/>
    <xf numFmtId="0" fontId="0" fillId="0" borderId="30" xfId="0" applyBorder="1"/>
    <xf numFmtId="17" fontId="0" fillId="0" borderId="46" xfId="0" applyNumberFormat="1" applyBorder="1"/>
    <xf numFmtId="0" fontId="0" fillId="0" borderId="1" xfId="0" applyBorder="1" applyAlignment="1">
      <alignment vertical="center"/>
    </xf>
    <xf numFmtId="1" fontId="0" fillId="0" borderId="27" xfId="0" applyNumberFormat="1" applyBorder="1"/>
    <xf numFmtId="1" fontId="0" fillId="0" borderId="3" xfId="0" applyNumberFormat="1" applyBorder="1"/>
    <xf numFmtId="166" fontId="0" fillId="0" borderId="0" xfId="0" applyNumberFormat="1"/>
    <xf numFmtId="14" fontId="0" fillId="0" borderId="0" xfId="0" applyNumberFormat="1"/>
    <xf numFmtId="165" fontId="0" fillId="0" borderId="0" xfId="0" applyNumberFormat="1"/>
    <xf numFmtId="2" fontId="0" fillId="0" borderId="1" xfId="1" applyNumberFormat="1" applyFont="1" applyBorder="1"/>
    <xf numFmtId="0" fontId="0" fillId="0" borderId="14" xfId="0" applyBorder="1"/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25" xfId="0" applyBorder="1"/>
    <xf numFmtId="2" fontId="0" fillId="0" borderId="25" xfId="1" applyNumberFormat="1" applyFont="1" applyBorder="1"/>
    <xf numFmtId="0" fontId="0" fillId="0" borderId="26" xfId="0" applyBorder="1"/>
    <xf numFmtId="2" fontId="0" fillId="0" borderId="26" xfId="1" applyNumberFormat="1" applyFont="1" applyBorder="1"/>
    <xf numFmtId="14" fontId="0" fillId="0" borderId="33" xfId="0" applyNumberFormat="1" applyBorder="1"/>
    <xf numFmtId="14" fontId="0" fillId="0" borderId="35" xfId="0" applyNumberFormat="1" applyBorder="1"/>
    <xf numFmtId="14" fontId="0" fillId="0" borderId="37" xfId="0" applyNumberFormat="1" applyBorder="1"/>
    <xf numFmtId="0" fontId="6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4" fontId="1" fillId="0" borderId="4" xfId="0" applyNumberFormat="1" applyFont="1" applyBorder="1"/>
    <xf numFmtId="165" fontId="0" fillId="0" borderId="5" xfId="0" applyNumberFormat="1" applyBorder="1"/>
    <xf numFmtId="165" fontId="0" fillId="0" borderId="7" xfId="0" applyNumberFormat="1" applyBorder="1"/>
    <xf numFmtId="14" fontId="0" fillId="0" borderId="47" xfId="0" applyNumberFormat="1" applyBorder="1"/>
    <xf numFmtId="165" fontId="0" fillId="0" borderId="48" xfId="0" applyNumberFormat="1" applyBorder="1"/>
    <xf numFmtId="165" fontId="0" fillId="0" borderId="12" xfId="0" applyNumberFormat="1" applyBorder="1"/>
    <xf numFmtId="0" fontId="2" fillId="0" borderId="14" xfId="0" applyFont="1" applyBorder="1"/>
    <xf numFmtId="0" fontId="2" fillId="0" borderId="16" xfId="0" applyFont="1" applyBorder="1"/>
    <xf numFmtId="0" fontId="1" fillId="0" borderId="41" xfId="0" applyFont="1" applyBorder="1"/>
    <xf numFmtId="14" fontId="0" fillId="0" borderId="24" xfId="0" applyNumberFormat="1" applyBorder="1"/>
    <xf numFmtId="164" fontId="0" fillId="0" borderId="24" xfId="0" applyNumberFormat="1" applyBorder="1"/>
    <xf numFmtId="0" fontId="2" fillId="0" borderId="14" xfId="0" applyFont="1" applyBorder="1" applyAlignment="1">
      <alignment horizontal="center" vertical="center" wrapText="1"/>
    </xf>
    <xf numFmtId="164" fontId="2" fillId="0" borderId="16" xfId="0" applyNumberFormat="1" applyFont="1" applyBorder="1"/>
    <xf numFmtId="165" fontId="0" fillId="0" borderId="2" xfId="0" applyNumberFormat="1" applyBorder="1"/>
    <xf numFmtId="164" fontId="0" fillId="0" borderId="41" xfId="0" applyNumberFormat="1" applyBorder="1"/>
    <xf numFmtId="0" fontId="1" fillId="0" borderId="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40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“Raw Material Quantity Analysis” </a:t>
            </a:r>
            <a:endParaRPr lang="en-US"/>
          </a:p>
        </c:rich>
      </c:tx>
      <c:layout>
        <c:manualLayout>
          <c:xMode val="edge"/>
          <c:yMode val="edge"/>
          <c:x val="0.22127167630057806"/>
          <c:y val="3.399433427762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purchase!$B$44</c:f>
              <c:strCache>
                <c:ptCount val="1"/>
                <c:pt idx="0">
                  <c:v>Total Qty(tons)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purchase!$A$45:$A$47</c:f>
              <c:strCache>
                <c:ptCount val="3"/>
                <c:pt idx="0">
                  <c:v>Sponge Iron</c:v>
                </c:pt>
                <c:pt idx="1">
                  <c:v>Ingots and Billets - Rolling Div</c:v>
                </c:pt>
                <c:pt idx="2">
                  <c:v>Turning Boring and other Scrap</c:v>
                </c:pt>
              </c:strCache>
            </c:strRef>
          </c:cat>
          <c:val>
            <c:numRef>
              <c:f>purchase!$B$45:$B$47</c:f>
              <c:numCache>
                <c:formatCode>0.000</c:formatCode>
                <c:ptCount val="3"/>
                <c:pt idx="0">
                  <c:v>863.74</c:v>
                </c:pt>
                <c:pt idx="1">
                  <c:v>426.81</c:v>
                </c:pt>
                <c:pt idx="2">
                  <c:v>369.17599999999999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64-4208-BD1E-C025B05FC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451455"/>
        <c:axId val="776761519"/>
      </c:barChart>
      <c:catAx>
        <c:axId val="90451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761519"/>
        <c:crosses val="autoZero"/>
        <c:auto val="1"/>
        <c:lblAlgn val="ctr"/>
        <c:lblOffset val="100"/>
        <c:noMultiLvlLbl val="0"/>
      </c:catAx>
      <c:valAx>
        <c:axId val="77676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5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0">
                <a:effectLst/>
              </a:rPr>
              <a:t>Raw Material Cost Contribution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583333333333334E-2"/>
          <c:y val="0.22467410323709536"/>
          <c:w val="0.81388888888888888"/>
          <c:h val="0.57479476523767858"/>
        </c:manualLayout>
      </c:layout>
      <c:pie3DChart>
        <c:varyColors val="1"/>
        <c:ser>
          <c:idx val="0"/>
          <c:order val="0"/>
          <c:tx>
            <c:strRef>
              <c:f>purchase!$B$63</c:f>
              <c:strCache>
                <c:ptCount val="1"/>
                <c:pt idx="0">
                  <c:v>Total Purchase 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76C-458C-832A-93D27848AF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76C-458C-832A-93D27848AF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76C-458C-832A-93D27848AF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purchase!$A$64:$A$66</c:f>
              <c:strCache>
                <c:ptCount val="3"/>
                <c:pt idx="0">
                  <c:v>Sponge Iron</c:v>
                </c:pt>
                <c:pt idx="1">
                  <c:v>Ingots and Billets - Rolling Div</c:v>
                </c:pt>
                <c:pt idx="2">
                  <c:v>Turning Boring and other Scrap</c:v>
                </c:pt>
              </c:strCache>
            </c:strRef>
          </c:cat>
          <c:val>
            <c:numRef>
              <c:f>purchase!$B$64:$B$66</c:f>
              <c:numCache>
                <c:formatCode>"₹"\ #,##0.00</c:formatCode>
                <c:ptCount val="3"/>
                <c:pt idx="0">
                  <c:v>23376582</c:v>
                </c:pt>
                <c:pt idx="1">
                  <c:v>19163769</c:v>
                </c:pt>
                <c:pt idx="2">
                  <c:v>11318478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2-4128-87FB-93DD7DA3252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 i="0">
                <a:effectLst/>
              </a:rPr>
              <a:t>Average Raw Material Price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purchase!$B$85:$B$86</c:f>
              <c:strCache>
                <c:ptCount val="2"/>
                <c:pt idx="0">
                  <c:v>Material-wise Price Comparison</c:v>
                </c:pt>
                <c:pt idx="1">
                  <c:v>Avg Price/KG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purchase!$A$87:$A$89</c:f>
              <c:strCache>
                <c:ptCount val="3"/>
                <c:pt idx="0">
                  <c:v>Sponge Iron</c:v>
                </c:pt>
                <c:pt idx="1">
                  <c:v>Ingots and Billets - Rolling Div</c:v>
                </c:pt>
                <c:pt idx="2">
                  <c:v>Turning Boring and other Scrap</c:v>
                </c:pt>
              </c:strCache>
            </c:strRef>
          </c:cat>
          <c:val>
            <c:numRef>
              <c:f>purchase!$B$87:$B$89</c:f>
              <c:numCache>
                <c:formatCode>"₹"\ #,##0.00</c:formatCode>
                <c:ptCount val="3"/>
                <c:pt idx="0">
                  <c:v>27064.373538333293</c:v>
                </c:pt>
                <c:pt idx="1">
                  <c:v>44900</c:v>
                </c:pt>
                <c:pt idx="2">
                  <c:v>30658.758965913279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2F-42A3-8428-1D9AD17D06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6163215"/>
        <c:axId val="346162255"/>
      </c:barChart>
      <c:catAx>
        <c:axId val="34616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62255"/>
        <c:crosses val="autoZero"/>
        <c:auto val="1"/>
        <c:lblAlgn val="ctr"/>
        <c:lblOffset val="100"/>
        <c:noMultiLvlLbl val="0"/>
      </c:catAx>
      <c:valAx>
        <c:axId val="34616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63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“Daily Sales Trend” (Quantity</a:t>
            </a:r>
            <a:r>
              <a:rPr lang="en-US" baseline="0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sales!$B$22:$B$23</c:f>
              <c:strCache>
                <c:ptCount val="2"/>
                <c:pt idx="0">
                  <c:v>“Daily Sales Trend”</c:v>
                </c:pt>
                <c:pt idx="1">
                  <c:v>total day sales  quantity (tons)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sales!$A$24:$A$28</c:f>
              <c:numCache>
                <c:formatCode>m/d/yyyy</c:formatCode>
                <c:ptCount val="5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</c:numCache>
            </c:numRef>
          </c:cat>
          <c:val>
            <c:numRef>
              <c:f>sales!$B$24:$B$28</c:f>
              <c:numCache>
                <c:formatCode>0.00</c:formatCode>
                <c:ptCount val="5"/>
                <c:pt idx="0">
                  <c:v>364.25</c:v>
                </c:pt>
                <c:pt idx="1">
                  <c:v>276.99</c:v>
                </c:pt>
                <c:pt idx="2">
                  <c:v>94.86</c:v>
                </c:pt>
                <c:pt idx="3">
                  <c:v>388.39</c:v>
                </c:pt>
                <c:pt idx="4">
                  <c:v>423.59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42-4A73-B103-F9472CA0C04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72921375"/>
        <c:axId val="1372924735"/>
      </c:lineChart>
      <c:dateAx>
        <c:axId val="137292137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924735"/>
        <c:crosses val="autoZero"/>
        <c:auto val="1"/>
        <c:lblOffset val="100"/>
        <c:baseTimeUnit val="days"/>
      </c:dateAx>
      <c:valAx>
        <c:axId val="137292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921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“Daily Sales Revenue”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sales!$B$36:$B$37</c:f>
              <c:strCache>
                <c:ptCount val="2"/>
                <c:pt idx="0">
                  <c:v>“Daily Sales Revenue”</c:v>
                </c:pt>
                <c:pt idx="1">
                  <c:v>total day sales value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sales!$A$38:$A$42</c:f>
              <c:numCache>
                <c:formatCode>m/d/yyyy</c:formatCode>
                <c:ptCount val="5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</c:numCache>
            </c:numRef>
          </c:cat>
          <c:val>
            <c:numRef>
              <c:f>sales!$B$38:$B$42</c:f>
              <c:numCache>
                <c:formatCode>"₹"\ #,##0.00</c:formatCode>
                <c:ptCount val="5"/>
                <c:pt idx="0">
                  <c:v>19492154</c:v>
                </c:pt>
                <c:pt idx="1">
                  <c:v>14830556</c:v>
                </c:pt>
                <c:pt idx="2">
                  <c:v>5079054</c:v>
                </c:pt>
                <c:pt idx="3">
                  <c:v>20616455</c:v>
                </c:pt>
                <c:pt idx="4">
                  <c:v>22348002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D-40BD-BE7B-B7131D81B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2999151"/>
        <c:axId val="1483005391"/>
      </c:barChart>
      <c:dateAx>
        <c:axId val="148299915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005391"/>
        <c:crosses val="autoZero"/>
        <c:auto val="1"/>
        <c:lblOffset val="100"/>
        <c:baseTimeUnit val="days"/>
      </c:dateAx>
      <c:valAx>
        <c:axId val="148300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99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48</xdr:row>
      <xdr:rowOff>107950</xdr:rowOff>
    </xdr:from>
    <xdr:to>
      <xdr:col>2</xdr:col>
      <xdr:colOff>1092200</xdr:colOff>
      <xdr:row>60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973E48-3AFD-057B-56F7-6AE822E2E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</xdr:colOff>
      <xdr:row>68</xdr:row>
      <xdr:rowOff>69850</xdr:rowOff>
    </xdr:from>
    <xdr:to>
      <xdr:col>2</xdr:col>
      <xdr:colOff>1244600</xdr:colOff>
      <xdr:row>83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7F2615-5D21-4101-3623-71FF76A74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31750</xdr:colOff>
      <xdr:row>89</xdr:row>
      <xdr:rowOff>114300</xdr:rowOff>
    </xdr:from>
    <xdr:to>
      <xdr:col>2</xdr:col>
      <xdr:colOff>1263650</xdr:colOff>
      <xdr:row>104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C024F1-FC70-D111-11FA-E1B0B0376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19</xdr:row>
      <xdr:rowOff>64770</xdr:rowOff>
    </xdr:from>
    <xdr:to>
      <xdr:col>6</xdr:col>
      <xdr:colOff>251460</xdr:colOff>
      <xdr:row>33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235981-197A-797E-97E1-CD4D91546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220980</xdr:colOff>
      <xdr:row>35</xdr:row>
      <xdr:rowOff>34290</xdr:rowOff>
    </xdr:from>
    <xdr:to>
      <xdr:col>6</xdr:col>
      <xdr:colOff>243840</xdr:colOff>
      <xdr:row>49</xdr:row>
      <xdr:rowOff>72390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E91E0B-6B30-CF59-8EFB-1720A1DC6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. M. Tajamulla Abdulla Khan" id="{79570509-EF95-4CAA-9B78-0868259B4D37}" userId="053fa0a8ec6a60ca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6-05-15T06:19:04.11" personId="{79570509-EF95-4CAA-9B78-0868259B4D37}" id="{8DD2BD47-1A13-4431-95AD-372ABC85D93B}">
    <text xml:space="preserve">Purchase from Jai Hind 
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8123CBE-65ED-4C74-B5D5-E5E67A820E6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e5a61ac-3094-4c3e-a605-c118986867e7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9F605CC6-06D4-4209-8D52-6B4AEC55E971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9C9A3-C1D7-480F-99A4-939A11682DCE}">
  <dimension ref="A1:B21"/>
  <sheetViews>
    <sheetView workbookViewId="0">
      <selection activeCell="F19" sqref="F19"/>
    </sheetView>
  </sheetViews>
  <sheetFormatPr defaultRowHeight="14.4" x14ac:dyDescent="0.3"/>
  <cols>
    <col min="1" max="1" width="26.5546875" customWidth="1"/>
    <col min="2" max="2" width="18.33203125" customWidth="1"/>
  </cols>
  <sheetData>
    <row r="1" spans="1:2" ht="21" x14ac:dyDescent="0.4">
      <c r="A1" s="98" t="s">
        <v>91</v>
      </c>
      <c r="B1" s="99"/>
    </row>
    <row r="2" spans="1:2" ht="15" thickBot="1" x14ac:dyDescent="0.35">
      <c r="A2" s="101"/>
      <c r="B2" s="102"/>
    </row>
    <row r="3" spans="1:2" ht="15" thickBot="1" x14ac:dyDescent="0.35">
      <c r="A3" s="104" t="s">
        <v>82</v>
      </c>
      <c r="B3" s="105" t="s">
        <v>90</v>
      </c>
    </row>
    <row r="4" spans="1:2" x14ac:dyDescent="0.3">
      <c r="A4" s="17" t="s">
        <v>85</v>
      </c>
      <c r="B4" s="103">
        <v>863.74</v>
      </c>
    </row>
    <row r="5" spans="1:2" x14ac:dyDescent="0.3">
      <c r="A5" s="62" t="s">
        <v>87</v>
      </c>
      <c r="B5" s="100">
        <v>426.81</v>
      </c>
    </row>
    <row r="6" spans="1:2" ht="15" thickBot="1" x14ac:dyDescent="0.35">
      <c r="A6" s="52" t="s">
        <v>88</v>
      </c>
      <c r="B6" s="102">
        <v>369.17599999999999</v>
      </c>
    </row>
    <row r="7" spans="1:2" ht="15" thickBot="1" x14ac:dyDescent="0.35">
      <c r="B7" s="111">
        <f>SUM(B4:B6)</f>
        <v>1659.7259999999999</v>
      </c>
    </row>
    <row r="10" spans="1:2" ht="21.6" thickBot="1" x14ac:dyDescent="0.45">
      <c r="A10" s="106" t="s">
        <v>93</v>
      </c>
      <c r="B10" s="59"/>
    </row>
    <row r="11" spans="1:2" ht="15" thickBot="1" x14ac:dyDescent="0.35">
      <c r="A11" s="109" t="s">
        <v>82</v>
      </c>
      <c r="B11" s="105" t="s">
        <v>83</v>
      </c>
    </row>
    <row r="12" spans="1:2" x14ac:dyDescent="0.3">
      <c r="A12" s="107" t="s">
        <v>85</v>
      </c>
      <c r="B12" s="108">
        <v>23376582</v>
      </c>
    </row>
    <row r="13" spans="1:2" x14ac:dyDescent="0.3">
      <c r="A13" s="3" t="s">
        <v>87</v>
      </c>
      <c r="B13" s="5">
        <v>19163769</v>
      </c>
    </row>
    <row r="14" spans="1:2" ht="15" thickBot="1" x14ac:dyDescent="0.35">
      <c r="A14" s="3" t="s">
        <v>88</v>
      </c>
      <c r="B14" s="112">
        <v>11318478</v>
      </c>
    </row>
    <row r="15" spans="1:2" ht="15" thickBot="1" x14ac:dyDescent="0.35">
      <c r="B15" s="22">
        <f>SUM(B12:B14)</f>
        <v>53858829</v>
      </c>
    </row>
    <row r="17" spans="1:2" ht="21.6" thickBot="1" x14ac:dyDescent="0.45">
      <c r="A17" s="106" t="s">
        <v>92</v>
      </c>
      <c r="B17" s="59"/>
    </row>
    <row r="18" spans="1:2" ht="15" thickBot="1" x14ac:dyDescent="0.35">
      <c r="A18" s="109" t="s">
        <v>82</v>
      </c>
      <c r="B18" s="110" t="s">
        <v>84</v>
      </c>
    </row>
    <row r="19" spans="1:2" x14ac:dyDescent="0.3">
      <c r="A19" s="107" t="s">
        <v>85</v>
      </c>
      <c r="B19" s="108">
        <v>27064.373538333293</v>
      </c>
    </row>
    <row r="20" spans="1:2" x14ac:dyDescent="0.3">
      <c r="A20" s="3" t="s">
        <v>87</v>
      </c>
      <c r="B20" s="5">
        <v>44900</v>
      </c>
    </row>
    <row r="21" spans="1:2" x14ac:dyDescent="0.3">
      <c r="A21" s="3" t="s">
        <v>88</v>
      </c>
      <c r="B21" s="5">
        <v>30658.758965913279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C5779-D568-44DE-8D9F-054C69AF31F5}">
  <dimension ref="A1:E89"/>
  <sheetViews>
    <sheetView topLeftCell="A54" zoomScale="120" zoomScaleNormal="120" workbookViewId="0">
      <selection activeCell="E91" sqref="E91"/>
    </sheetView>
  </sheetViews>
  <sheetFormatPr defaultRowHeight="14.4" x14ac:dyDescent="0.3"/>
  <cols>
    <col min="1" max="1" width="27.77734375" customWidth="1"/>
    <col min="2" max="2" width="20.88671875" customWidth="1"/>
    <col min="3" max="3" width="27.77734375" customWidth="1"/>
    <col min="4" max="4" width="11.77734375" bestFit="1" customWidth="1"/>
  </cols>
  <sheetData>
    <row r="1" spans="1:4" x14ac:dyDescent="0.3">
      <c r="A1" s="113" t="s">
        <v>10</v>
      </c>
      <c r="B1" s="114"/>
      <c r="C1" s="115"/>
    </row>
    <row r="2" spans="1:4" ht="15" thickBot="1" x14ac:dyDescent="0.35">
      <c r="A2" s="116"/>
      <c r="B2" s="117"/>
      <c r="C2" s="118"/>
    </row>
    <row r="3" spans="1:4" x14ac:dyDescent="0.3">
      <c r="A3" s="24" t="s">
        <v>0</v>
      </c>
      <c r="B3" s="24" t="s">
        <v>8</v>
      </c>
      <c r="C3" s="26" t="s">
        <v>9</v>
      </c>
      <c r="D3" s="2" t="s">
        <v>14</v>
      </c>
    </row>
    <row r="4" spans="1:4" x14ac:dyDescent="0.3">
      <c r="A4" s="3">
        <v>46143</v>
      </c>
      <c r="B4" s="4">
        <v>67400</v>
      </c>
      <c r="C4" s="27">
        <v>1999334</v>
      </c>
      <c r="D4" s="5">
        <f>C4/B4</f>
        <v>29.663709198813056</v>
      </c>
    </row>
    <row r="5" spans="1:4" x14ac:dyDescent="0.3">
      <c r="A5" s="3">
        <v>46144</v>
      </c>
      <c r="B5" s="4">
        <v>89920</v>
      </c>
      <c r="C5" s="27">
        <v>2822308</v>
      </c>
      <c r="D5" s="5">
        <f t="shared" ref="D5:D8" si="0">C5/B5</f>
        <v>31.386877224199289</v>
      </c>
    </row>
    <row r="6" spans="1:4" x14ac:dyDescent="0.3">
      <c r="A6" s="3">
        <v>46145</v>
      </c>
      <c r="B6" s="4">
        <v>71680</v>
      </c>
      <c r="C6" s="27">
        <v>2256116</v>
      </c>
      <c r="D6" s="5">
        <f t="shared" si="0"/>
        <v>31.474832589285715</v>
      </c>
    </row>
    <row r="7" spans="1:4" x14ac:dyDescent="0.3">
      <c r="A7" s="3">
        <v>46146</v>
      </c>
      <c r="B7" s="4">
        <v>64066</v>
      </c>
      <c r="C7" s="27">
        <v>2099888</v>
      </c>
      <c r="D7" s="5">
        <f t="shared" si="0"/>
        <v>32.776948771579306</v>
      </c>
    </row>
    <row r="8" spans="1:4" x14ac:dyDescent="0.3">
      <c r="A8" s="3">
        <v>46147</v>
      </c>
      <c r="B8" s="4">
        <v>76110</v>
      </c>
      <c r="C8" s="27">
        <v>2140832</v>
      </c>
      <c r="D8" s="5">
        <f t="shared" si="0"/>
        <v>28.128130337669162</v>
      </c>
    </row>
    <row r="9" spans="1:4" x14ac:dyDescent="0.3">
      <c r="B9" s="4">
        <f>SUM(B4:B8)</f>
        <v>369176</v>
      </c>
      <c r="C9" s="5">
        <f>SUM(C4:C8)</f>
        <v>11318478</v>
      </c>
    </row>
    <row r="11" spans="1:4" ht="15" thickBot="1" x14ac:dyDescent="0.35"/>
    <row r="12" spans="1:4" x14ac:dyDescent="0.3">
      <c r="A12" s="113" t="s">
        <v>11</v>
      </c>
      <c r="B12" s="114"/>
      <c r="C12" s="115"/>
    </row>
    <row r="13" spans="1:4" ht="15" thickBot="1" x14ac:dyDescent="0.35">
      <c r="A13" s="116"/>
      <c r="B13" s="117"/>
      <c r="C13" s="118"/>
    </row>
    <row r="14" spans="1:4" x14ac:dyDescent="0.3">
      <c r="A14" s="24" t="s">
        <v>0</v>
      </c>
      <c r="B14" s="24" t="s">
        <v>12</v>
      </c>
      <c r="C14" s="24" t="s">
        <v>13</v>
      </c>
      <c r="D14" s="2" t="s">
        <v>14</v>
      </c>
    </row>
    <row r="15" spans="1:4" x14ac:dyDescent="0.3">
      <c r="A15" s="3">
        <v>46143</v>
      </c>
      <c r="B15" s="4">
        <v>0</v>
      </c>
      <c r="C15" s="5">
        <v>0</v>
      </c>
      <c r="D15" s="2" t="e">
        <f>C15/B15</f>
        <v>#DIV/0!</v>
      </c>
    </row>
    <row r="16" spans="1:4" x14ac:dyDescent="0.3">
      <c r="A16" s="3">
        <v>46144</v>
      </c>
      <c r="B16" s="4">
        <v>264430</v>
      </c>
      <c r="C16" s="5">
        <v>11872907</v>
      </c>
      <c r="D16" s="2">
        <f t="shared" ref="D16:D19" si="1">C16/B16</f>
        <v>44.9</v>
      </c>
    </row>
    <row r="17" spans="1:4" x14ac:dyDescent="0.3">
      <c r="A17" s="3">
        <v>46145</v>
      </c>
      <c r="B17" s="4">
        <v>0</v>
      </c>
      <c r="C17" s="5">
        <v>0</v>
      </c>
      <c r="D17" s="2" t="e">
        <f t="shared" si="1"/>
        <v>#DIV/0!</v>
      </c>
    </row>
    <row r="18" spans="1:4" x14ac:dyDescent="0.3">
      <c r="A18" s="3">
        <v>46146</v>
      </c>
      <c r="B18" s="4">
        <v>128790</v>
      </c>
      <c r="C18" s="5">
        <v>5782671</v>
      </c>
      <c r="D18" s="2">
        <f t="shared" si="1"/>
        <v>44.9</v>
      </c>
    </row>
    <row r="19" spans="1:4" x14ac:dyDescent="0.3">
      <c r="A19" s="3">
        <v>46147</v>
      </c>
      <c r="B19" s="4">
        <v>33590</v>
      </c>
      <c r="C19" s="5">
        <v>1508191</v>
      </c>
      <c r="D19" s="2">
        <f t="shared" si="1"/>
        <v>44.9</v>
      </c>
    </row>
    <row r="20" spans="1:4" x14ac:dyDescent="0.3">
      <c r="B20" s="4">
        <f>SUM(B15:B19)</f>
        <v>426810</v>
      </c>
      <c r="C20" s="5">
        <f>SUM(C15:C19)</f>
        <v>19163769</v>
      </c>
    </row>
    <row r="22" spans="1:4" ht="15" thickBot="1" x14ac:dyDescent="0.35"/>
    <row r="23" spans="1:4" x14ac:dyDescent="0.3">
      <c r="A23" s="113" t="s">
        <v>18</v>
      </c>
      <c r="B23" s="114"/>
      <c r="C23" s="114"/>
      <c r="D23" s="115"/>
    </row>
    <row r="24" spans="1:4" ht="15" thickBot="1" x14ac:dyDescent="0.35">
      <c r="A24" s="116"/>
      <c r="B24" s="117"/>
      <c r="C24" s="117"/>
      <c r="D24" s="118"/>
    </row>
    <row r="25" spans="1:4" x14ac:dyDescent="0.3">
      <c r="A25" s="24" t="s">
        <v>0</v>
      </c>
      <c r="B25" s="24" t="s">
        <v>19</v>
      </c>
      <c r="C25" s="26" t="s">
        <v>20</v>
      </c>
      <c r="D25" s="24" t="s">
        <v>14</v>
      </c>
    </row>
    <row r="26" spans="1:4" x14ac:dyDescent="0.3">
      <c r="A26" s="3">
        <v>46143</v>
      </c>
      <c r="B26" s="25">
        <v>0</v>
      </c>
      <c r="C26" s="27">
        <v>0</v>
      </c>
      <c r="D26" s="5" t="e">
        <f>C26/B26</f>
        <v>#DIV/0!</v>
      </c>
    </row>
    <row r="27" spans="1:4" x14ac:dyDescent="0.3">
      <c r="A27" s="3">
        <v>46144</v>
      </c>
      <c r="B27" s="25">
        <v>130090</v>
      </c>
      <c r="C27" s="1">
        <v>3655264</v>
      </c>
      <c r="D27" s="5">
        <f>C27/B27</f>
        <v>28.097962948727805</v>
      </c>
    </row>
    <row r="28" spans="1:4" x14ac:dyDescent="0.3">
      <c r="A28" s="3">
        <v>46145</v>
      </c>
      <c r="B28" s="25">
        <v>245370</v>
      </c>
      <c r="C28" s="27">
        <v>6542991</v>
      </c>
      <c r="D28" s="5">
        <f>C28/B28</f>
        <v>26.665814891796064</v>
      </c>
    </row>
    <row r="29" spans="1:4" x14ac:dyDescent="0.3">
      <c r="A29" s="3">
        <v>46146</v>
      </c>
      <c r="B29" s="25">
        <v>227070</v>
      </c>
      <c r="C29" s="27">
        <v>6259150</v>
      </c>
      <c r="D29" s="28">
        <f>C29/B29</f>
        <v>27.564847844277097</v>
      </c>
    </row>
    <row r="30" spans="1:4" x14ac:dyDescent="0.3">
      <c r="A30" s="3">
        <v>46147</v>
      </c>
      <c r="B30" s="25">
        <v>261210</v>
      </c>
      <c r="C30" s="27">
        <v>6919177</v>
      </c>
      <c r="D30" s="5">
        <f>C30/B30</f>
        <v>26.488943761724283</v>
      </c>
    </row>
    <row r="31" spans="1:4" x14ac:dyDescent="0.3">
      <c r="B31" s="25">
        <f>SUM(B26:B30)</f>
        <v>863740</v>
      </c>
      <c r="C31" s="5">
        <f>SUM(C26:C30)</f>
        <v>23376582</v>
      </c>
    </row>
    <row r="34" spans="1:5" x14ac:dyDescent="0.3">
      <c r="A34" s="82" t="s">
        <v>86</v>
      </c>
      <c r="B34" s="83"/>
      <c r="C34" s="1"/>
      <c r="D34" s="1"/>
    </row>
    <row r="35" spans="1:5" ht="28.8" x14ac:dyDescent="0.3">
      <c r="A35" s="96" t="s">
        <v>82</v>
      </c>
      <c r="B35" s="97" t="s">
        <v>90</v>
      </c>
      <c r="C35" s="97" t="s">
        <v>83</v>
      </c>
      <c r="D35" s="97" t="s">
        <v>84</v>
      </c>
    </row>
    <row r="36" spans="1:5" x14ac:dyDescent="0.3">
      <c r="A36" s="82" t="s">
        <v>85</v>
      </c>
      <c r="B36" s="83">
        <f>B31/1000</f>
        <v>863.74</v>
      </c>
      <c r="C36" s="5">
        <f>SUM(C31:C35)</f>
        <v>23376582</v>
      </c>
      <c r="D36" s="1">
        <f>C36/B36</f>
        <v>27064.373538333293</v>
      </c>
      <c r="E36" t="s">
        <v>89</v>
      </c>
    </row>
    <row r="37" spans="1:5" x14ac:dyDescent="0.3">
      <c r="A37" s="82" t="s">
        <v>87</v>
      </c>
      <c r="B37" s="83">
        <f>B20/1000</f>
        <v>426.81</v>
      </c>
      <c r="C37" s="1">
        <v>19163769</v>
      </c>
      <c r="D37" s="81">
        <f>C37/B37</f>
        <v>44900</v>
      </c>
    </row>
    <row r="38" spans="1:5" x14ac:dyDescent="0.3">
      <c r="A38" s="82" t="s">
        <v>88</v>
      </c>
      <c r="B38" s="83">
        <f>B9/1000</f>
        <v>369.17599999999999</v>
      </c>
      <c r="C38" s="1">
        <v>11318478</v>
      </c>
      <c r="D38" s="1">
        <f>C38/B38</f>
        <v>30658.758965913279</v>
      </c>
    </row>
    <row r="39" spans="1:5" x14ac:dyDescent="0.3">
      <c r="A39" s="82"/>
      <c r="B39" s="83">
        <f>SUM(B36:B38)</f>
        <v>1659.7259999999999</v>
      </c>
      <c r="C39" s="1">
        <f>SUM(C37:C38)</f>
        <v>30482247</v>
      </c>
      <c r="D39" s="1"/>
    </row>
    <row r="40" spans="1:5" x14ac:dyDescent="0.3">
      <c r="A40" s="82"/>
      <c r="B40" s="83"/>
      <c r="C40" s="1"/>
      <c r="D40" s="1"/>
    </row>
    <row r="41" spans="1:5" ht="15" thickBot="1" x14ac:dyDescent="0.35">
      <c r="A41" s="82"/>
      <c r="B41" s="83"/>
      <c r="C41" s="1"/>
      <c r="D41" s="81"/>
    </row>
    <row r="42" spans="1:5" ht="21" x14ac:dyDescent="0.4">
      <c r="A42" s="98" t="s">
        <v>91</v>
      </c>
      <c r="B42" s="99"/>
      <c r="C42" s="1"/>
      <c r="D42" s="1"/>
    </row>
    <row r="43" spans="1:5" ht="15" thickBot="1" x14ac:dyDescent="0.35">
      <c r="A43" s="101"/>
      <c r="B43" s="102"/>
      <c r="C43" s="1"/>
      <c r="D43" s="1"/>
    </row>
    <row r="44" spans="1:5" ht="15" thickBot="1" x14ac:dyDescent="0.35">
      <c r="A44" s="104" t="s">
        <v>82</v>
      </c>
      <c r="B44" s="105" t="s">
        <v>90</v>
      </c>
      <c r="D44" s="1"/>
    </row>
    <row r="45" spans="1:5" x14ac:dyDescent="0.3">
      <c r="A45" s="17" t="s">
        <v>85</v>
      </c>
      <c r="B45" s="103">
        <v>863.74</v>
      </c>
      <c r="D45" s="81"/>
    </row>
    <row r="46" spans="1:5" x14ac:dyDescent="0.3">
      <c r="A46" s="62" t="s">
        <v>87</v>
      </c>
      <c r="B46" s="100">
        <v>426.81</v>
      </c>
      <c r="D46" s="1"/>
    </row>
    <row r="47" spans="1:5" ht="15" thickBot="1" x14ac:dyDescent="0.35">
      <c r="A47" s="52" t="s">
        <v>88</v>
      </c>
      <c r="B47" s="102">
        <v>369.17599999999999</v>
      </c>
    </row>
    <row r="48" spans="1:5" ht="15" thickBot="1" x14ac:dyDescent="0.35">
      <c r="B48" s="111">
        <f>SUM(B45:B47)</f>
        <v>1659.7259999999999</v>
      </c>
    </row>
    <row r="62" spans="1:2" ht="21.6" thickBot="1" x14ac:dyDescent="0.45">
      <c r="A62" s="106" t="s">
        <v>93</v>
      </c>
      <c r="B62" s="59"/>
    </row>
    <row r="63" spans="1:2" ht="15" thickBot="1" x14ac:dyDescent="0.35">
      <c r="A63" s="109" t="s">
        <v>82</v>
      </c>
      <c r="B63" s="105" t="s">
        <v>83</v>
      </c>
    </row>
    <row r="64" spans="1:2" x14ac:dyDescent="0.3">
      <c r="A64" s="107" t="s">
        <v>85</v>
      </c>
      <c r="B64" s="108">
        <v>23376582</v>
      </c>
    </row>
    <row r="65" spans="1:2" x14ac:dyDescent="0.3">
      <c r="A65" s="3" t="s">
        <v>87</v>
      </c>
      <c r="B65" s="5">
        <v>19163769</v>
      </c>
    </row>
    <row r="66" spans="1:2" ht="15" thickBot="1" x14ac:dyDescent="0.35">
      <c r="A66" s="3" t="s">
        <v>88</v>
      </c>
      <c r="B66" s="112">
        <v>11318478</v>
      </c>
    </row>
    <row r="67" spans="1:2" ht="15" thickBot="1" x14ac:dyDescent="0.35">
      <c r="B67" s="22">
        <f>SUM(B64:B66)</f>
        <v>53858829</v>
      </c>
    </row>
    <row r="85" spans="1:2" ht="21.6" thickBot="1" x14ac:dyDescent="0.45">
      <c r="A85" s="106" t="s">
        <v>92</v>
      </c>
      <c r="B85" s="59"/>
    </row>
    <row r="86" spans="1:2" ht="15" thickBot="1" x14ac:dyDescent="0.35">
      <c r="A86" s="109" t="s">
        <v>82</v>
      </c>
      <c r="B86" s="110" t="s">
        <v>84</v>
      </c>
    </row>
    <row r="87" spans="1:2" x14ac:dyDescent="0.3">
      <c r="A87" s="107" t="s">
        <v>85</v>
      </c>
      <c r="B87" s="108">
        <v>27064.373538333293</v>
      </c>
    </row>
    <row r="88" spans="1:2" x14ac:dyDescent="0.3">
      <c r="A88" s="3" t="s">
        <v>87</v>
      </c>
      <c r="B88" s="5">
        <v>44900</v>
      </c>
    </row>
    <row r="89" spans="1:2" x14ac:dyDescent="0.3">
      <c r="A89" s="3" t="s">
        <v>88</v>
      </c>
      <c r="B89" s="5">
        <v>30658.758965913279</v>
      </c>
    </row>
  </sheetData>
  <mergeCells count="3">
    <mergeCell ref="A1:C2"/>
    <mergeCell ref="A12:C13"/>
    <mergeCell ref="A23:D2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821B2-6A53-4D22-B807-3C75A5B2745E}">
  <dimension ref="A1:H18"/>
  <sheetViews>
    <sheetView topLeftCell="A10" workbookViewId="0">
      <selection activeCell="E26" sqref="E26"/>
    </sheetView>
  </sheetViews>
  <sheetFormatPr defaultRowHeight="14.4" x14ac:dyDescent="0.3"/>
  <cols>
    <col min="2" max="2" width="19.33203125" customWidth="1"/>
    <col min="3" max="3" width="12" bestFit="1" customWidth="1"/>
    <col min="4" max="4" width="18.33203125" customWidth="1"/>
  </cols>
  <sheetData>
    <row r="1" spans="1:8" ht="14.4" customHeight="1" x14ac:dyDescent="0.3">
      <c r="B1" s="119" t="s">
        <v>58</v>
      </c>
      <c r="C1" s="120"/>
      <c r="D1" s="120"/>
      <c r="E1" s="120"/>
      <c r="F1" s="120"/>
      <c r="G1" s="120"/>
      <c r="H1" s="120"/>
    </row>
    <row r="2" spans="1:8" ht="15" thickBot="1" x14ac:dyDescent="0.35">
      <c r="B2" s="119"/>
      <c r="C2" s="120"/>
      <c r="D2" s="120"/>
      <c r="E2" s="120"/>
      <c r="F2" s="120"/>
      <c r="G2" s="120"/>
      <c r="H2" s="120"/>
    </row>
    <row r="3" spans="1:8" ht="15" thickBot="1" x14ac:dyDescent="0.35">
      <c r="A3" s="69" t="s">
        <v>0</v>
      </c>
      <c r="B3" s="67" t="s">
        <v>56</v>
      </c>
      <c r="C3" s="58" t="s">
        <v>57</v>
      </c>
      <c r="D3" s="29" t="s">
        <v>59</v>
      </c>
      <c r="E3" s="69" t="s">
        <v>60</v>
      </c>
    </row>
    <row r="4" spans="1:8" x14ac:dyDescent="0.3">
      <c r="A4" s="73">
        <v>37012</v>
      </c>
      <c r="B4" s="29">
        <v>347180</v>
      </c>
      <c r="C4" s="29">
        <f>B4/1000</f>
        <v>347.18</v>
      </c>
      <c r="D4" s="75">
        <v>4000</v>
      </c>
      <c r="E4" s="40">
        <f>D4/1000</f>
        <v>4</v>
      </c>
    </row>
    <row r="5" spans="1:8" x14ac:dyDescent="0.3">
      <c r="A5" s="73">
        <v>37377</v>
      </c>
      <c r="B5" s="75">
        <v>369420</v>
      </c>
      <c r="C5" s="75">
        <f t="shared" ref="C5:C8" si="0">B5/1000</f>
        <v>369.42</v>
      </c>
      <c r="D5" s="75">
        <v>4100</v>
      </c>
      <c r="E5" s="40">
        <f t="shared" ref="E5:E8" si="1">D5/1000</f>
        <v>4.0999999999999996</v>
      </c>
    </row>
    <row r="6" spans="1:8" x14ac:dyDescent="0.3">
      <c r="A6" s="73">
        <v>37742</v>
      </c>
      <c r="B6" s="75">
        <v>374240</v>
      </c>
      <c r="C6" s="75">
        <f t="shared" si="0"/>
        <v>374.24</v>
      </c>
      <c r="D6" s="75">
        <v>4100</v>
      </c>
      <c r="E6" s="40">
        <f t="shared" si="1"/>
        <v>4.0999999999999996</v>
      </c>
    </row>
    <row r="7" spans="1:8" x14ac:dyDescent="0.3">
      <c r="A7" s="73">
        <v>38108</v>
      </c>
      <c r="B7" s="75">
        <v>328210</v>
      </c>
      <c r="C7" s="75">
        <f t="shared" si="0"/>
        <v>328.21</v>
      </c>
      <c r="D7" s="75">
        <v>3600</v>
      </c>
      <c r="E7" s="40">
        <f t="shared" si="1"/>
        <v>3.6</v>
      </c>
    </row>
    <row r="8" spans="1:8" ht="15" thickBot="1" x14ac:dyDescent="0.35">
      <c r="A8" s="74">
        <v>38473</v>
      </c>
      <c r="B8" s="76">
        <v>356150</v>
      </c>
      <c r="C8" s="76">
        <f t="shared" si="0"/>
        <v>356.15</v>
      </c>
      <c r="D8" s="76">
        <v>3900</v>
      </c>
      <c r="E8" s="43">
        <f t="shared" si="1"/>
        <v>3.9</v>
      </c>
    </row>
    <row r="10" spans="1:8" x14ac:dyDescent="0.3">
      <c r="A10" s="121" t="s">
        <v>61</v>
      </c>
      <c r="B10" s="121"/>
      <c r="C10" s="121"/>
      <c r="D10" s="121"/>
    </row>
    <row r="11" spans="1:8" ht="15" thickBot="1" x14ac:dyDescent="0.35">
      <c r="A11" s="121"/>
      <c r="B11" s="121"/>
      <c r="C11" s="121"/>
      <c r="D11" s="121"/>
    </row>
    <row r="12" spans="1:8" ht="15" thickBot="1" x14ac:dyDescent="0.35">
      <c r="A12" s="69" t="s">
        <v>0</v>
      </c>
      <c r="B12" s="67" t="s">
        <v>62</v>
      </c>
      <c r="C12" s="67" t="s">
        <v>64</v>
      </c>
    </row>
    <row r="13" spans="1:8" x14ac:dyDescent="0.3">
      <c r="A13" s="73">
        <v>37012</v>
      </c>
      <c r="B13" s="29">
        <v>295</v>
      </c>
      <c r="C13" s="69">
        <f>C4-B13</f>
        <v>52.180000000000007</v>
      </c>
    </row>
    <row r="14" spans="1:8" x14ac:dyDescent="0.3">
      <c r="A14" s="73">
        <v>37377</v>
      </c>
      <c r="B14" s="75">
        <v>315</v>
      </c>
      <c r="C14" s="40">
        <f t="shared" ref="C14:C17" si="2">C5-B14</f>
        <v>54.420000000000016</v>
      </c>
    </row>
    <row r="15" spans="1:8" x14ac:dyDescent="0.3">
      <c r="A15" s="73">
        <v>37742</v>
      </c>
      <c r="B15" s="75">
        <v>315</v>
      </c>
      <c r="C15" s="40">
        <f t="shared" si="2"/>
        <v>59.240000000000009</v>
      </c>
    </row>
    <row r="16" spans="1:8" x14ac:dyDescent="0.3">
      <c r="A16" s="73">
        <v>38108</v>
      </c>
      <c r="B16" s="75">
        <v>267</v>
      </c>
      <c r="C16" s="40">
        <f t="shared" si="2"/>
        <v>61.20999999999998</v>
      </c>
    </row>
    <row r="17" spans="1:3" ht="15" thickBot="1" x14ac:dyDescent="0.35">
      <c r="A17" s="74">
        <v>38473</v>
      </c>
      <c r="B17" s="76">
        <v>298</v>
      </c>
      <c r="C17" s="43">
        <f t="shared" si="2"/>
        <v>58.149999999999977</v>
      </c>
    </row>
    <row r="18" spans="1:3" ht="15" thickBot="1" x14ac:dyDescent="0.35">
      <c r="B18" s="68">
        <f>SUM(B13:B17)</f>
        <v>1490</v>
      </c>
      <c r="C18" s="60">
        <f>SUM(C13:C17)</f>
        <v>285.2</v>
      </c>
    </row>
  </sheetData>
  <mergeCells count="2">
    <mergeCell ref="B1:H2"/>
    <mergeCell ref="A10:D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AB879-DB22-480F-867A-7448102267EB}">
  <dimension ref="A1:F8"/>
  <sheetViews>
    <sheetView workbookViewId="0">
      <selection activeCell="F2" sqref="F2:F7"/>
    </sheetView>
  </sheetViews>
  <sheetFormatPr defaultRowHeight="14.4" x14ac:dyDescent="0.3"/>
  <cols>
    <col min="2" max="3" width="14.109375" customWidth="1"/>
    <col min="4" max="4" width="18.6640625" customWidth="1"/>
    <col min="6" max="6" width="14.21875" customWidth="1"/>
  </cols>
  <sheetData>
    <row r="1" spans="1:6" ht="15" thickBot="1" x14ac:dyDescent="0.35">
      <c r="A1" t="s">
        <v>50</v>
      </c>
    </row>
    <row r="2" spans="1:6" ht="15" thickBot="1" x14ac:dyDescent="0.35">
      <c r="A2" s="69" t="s">
        <v>0</v>
      </c>
      <c r="B2" s="70" t="s">
        <v>51</v>
      </c>
      <c r="C2" s="65" t="s">
        <v>53</v>
      </c>
      <c r="D2" s="50" t="s">
        <v>52</v>
      </c>
      <c r="E2" s="65" t="s">
        <v>54</v>
      </c>
      <c r="F2" s="60" t="s">
        <v>55</v>
      </c>
    </row>
    <row r="3" spans="1:6" x14ac:dyDescent="0.3">
      <c r="A3" s="71">
        <v>37012</v>
      </c>
      <c r="B3" s="41">
        <v>295000</v>
      </c>
      <c r="C3" s="6">
        <f>B3/1000</f>
        <v>295</v>
      </c>
      <c r="D3" s="62">
        <v>135000</v>
      </c>
      <c r="E3" s="6">
        <f>D3/1000</f>
        <v>135</v>
      </c>
      <c r="F3" s="69">
        <f>C3+E3</f>
        <v>430</v>
      </c>
    </row>
    <row r="4" spans="1:6" x14ac:dyDescent="0.3">
      <c r="A4" s="71">
        <v>37377</v>
      </c>
      <c r="B4" s="41">
        <v>315000</v>
      </c>
      <c r="C4" s="6">
        <f t="shared" ref="C4:C7" si="0">B4/1000</f>
        <v>315</v>
      </c>
      <c r="D4" s="62">
        <v>141700</v>
      </c>
      <c r="E4" s="6">
        <f t="shared" ref="E4:E7" si="1">D4/1000</f>
        <v>141.69999999999999</v>
      </c>
      <c r="F4" s="40">
        <f t="shared" ref="F4:F7" si="2">C4+E4</f>
        <v>456.7</v>
      </c>
    </row>
    <row r="5" spans="1:6" x14ac:dyDescent="0.3">
      <c r="A5" s="71">
        <v>37742</v>
      </c>
      <c r="B5" s="41">
        <v>315000</v>
      </c>
      <c r="C5" s="6">
        <f t="shared" si="0"/>
        <v>315</v>
      </c>
      <c r="D5" s="62">
        <v>14100</v>
      </c>
      <c r="E5" s="6">
        <f t="shared" si="1"/>
        <v>14.1</v>
      </c>
      <c r="F5" s="40">
        <f t="shared" si="2"/>
        <v>329.1</v>
      </c>
    </row>
    <row r="6" spans="1:6" x14ac:dyDescent="0.3">
      <c r="A6" s="71">
        <v>38108</v>
      </c>
      <c r="B6" s="41">
        <v>267000</v>
      </c>
      <c r="C6" s="6">
        <f t="shared" si="0"/>
        <v>267</v>
      </c>
      <c r="D6" s="62">
        <v>116700</v>
      </c>
      <c r="E6" s="6">
        <f t="shared" si="1"/>
        <v>116.7</v>
      </c>
      <c r="F6" s="40">
        <f t="shared" si="2"/>
        <v>383.7</v>
      </c>
    </row>
    <row r="7" spans="1:6" ht="15" thickBot="1" x14ac:dyDescent="0.35">
      <c r="A7" s="72">
        <v>38473</v>
      </c>
      <c r="B7" s="44">
        <v>298000</v>
      </c>
      <c r="C7" s="66">
        <f t="shared" si="0"/>
        <v>298</v>
      </c>
      <c r="D7" s="52">
        <v>133300</v>
      </c>
      <c r="E7" s="66">
        <f t="shared" si="1"/>
        <v>133.30000000000001</v>
      </c>
      <c r="F7" s="43">
        <f t="shared" si="2"/>
        <v>431.3</v>
      </c>
    </row>
    <row r="8" spans="1:6" ht="15" thickBot="1" x14ac:dyDescent="0.35">
      <c r="C8" s="61">
        <f>SUM(C3:C7)</f>
        <v>1490</v>
      </c>
      <c r="E8" s="68">
        <f>SUM(E3:E7)</f>
        <v>540.79999999999995</v>
      </c>
      <c r="F8" s="60">
        <f>SUM(F3:F7)</f>
        <v>2030.8000000000002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9ACC2-A924-40DE-9F3A-6CCE31104B79}">
  <dimension ref="A1:E25"/>
  <sheetViews>
    <sheetView topLeftCell="A5" workbookViewId="0">
      <selection activeCell="E25" sqref="E25"/>
    </sheetView>
  </sheetViews>
  <sheetFormatPr defaultRowHeight="14.4" x14ac:dyDescent="0.3"/>
  <cols>
    <col min="1" max="1" width="29" customWidth="1"/>
    <col min="2" max="2" width="16.33203125" customWidth="1"/>
    <col min="3" max="3" width="12.88671875" bestFit="1" customWidth="1"/>
    <col min="5" max="5" width="14.44140625" bestFit="1" customWidth="1"/>
  </cols>
  <sheetData>
    <row r="1" spans="1:4" x14ac:dyDescent="0.3">
      <c r="A1" s="33" t="s">
        <v>21</v>
      </c>
      <c r="B1" s="34" t="s">
        <v>22</v>
      </c>
    </row>
    <row r="2" spans="1:4" x14ac:dyDescent="0.3">
      <c r="A2" s="32" t="s">
        <v>23</v>
      </c>
      <c r="B2" s="35">
        <v>120000000</v>
      </c>
    </row>
    <row r="3" spans="1:4" x14ac:dyDescent="0.3">
      <c r="A3" s="32" t="s">
        <v>24</v>
      </c>
      <c r="B3" s="35">
        <v>11000000</v>
      </c>
    </row>
    <row r="4" spans="1:4" x14ac:dyDescent="0.3">
      <c r="A4" s="32" t="s">
        <v>25</v>
      </c>
      <c r="B4" s="35">
        <v>131000000</v>
      </c>
    </row>
    <row r="5" spans="1:4" x14ac:dyDescent="0.3">
      <c r="A5" s="32" t="s">
        <v>26</v>
      </c>
      <c r="B5" s="35">
        <v>4366667</v>
      </c>
    </row>
    <row r="6" spans="1:4" x14ac:dyDescent="0.3">
      <c r="A6" s="32" t="s">
        <v>27</v>
      </c>
      <c r="B6" s="35">
        <v>21833335</v>
      </c>
    </row>
    <row r="9" spans="1:4" x14ac:dyDescent="0.3">
      <c r="A9" s="32" t="s">
        <v>65</v>
      </c>
      <c r="D9" t="s">
        <v>68</v>
      </c>
    </row>
    <row r="10" spans="1:4" ht="15" thickBot="1" x14ac:dyDescent="0.35">
      <c r="A10" s="78" t="s">
        <v>67</v>
      </c>
      <c r="B10" s="2" t="s">
        <v>66</v>
      </c>
      <c r="C10" s="59" t="s">
        <v>69</v>
      </c>
      <c r="D10" s="1">
        <v>7</v>
      </c>
    </row>
    <row r="11" spans="1:4" x14ac:dyDescent="0.3">
      <c r="A11" s="77">
        <v>37012</v>
      </c>
      <c r="B11" s="79">
        <v>237200</v>
      </c>
      <c r="C11" s="48">
        <f>B11*$D$10</f>
        <v>1660400</v>
      </c>
    </row>
    <row r="12" spans="1:4" x14ac:dyDescent="0.3">
      <c r="A12" s="73">
        <v>37377</v>
      </c>
      <c r="B12" s="80">
        <v>236900</v>
      </c>
      <c r="C12" s="42">
        <f>B12*$D$10</f>
        <v>1658300</v>
      </c>
    </row>
    <row r="13" spans="1:4" x14ac:dyDescent="0.3">
      <c r="A13" s="73">
        <v>37742</v>
      </c>
      <c r="B13" s="80">
        <v>248100</v>
      </c>
      <c r="C13" s="42">
        <f>B13*$D$10</f>
        <v>1736700</v>
      </c>
    </row>
    <row r="14" spans="1:4" x14ac:dyDescent="0.3">
      <c r="A14" s="73">
        <v>38108</v>
      </c>
      <c r="B14" s="80">
        <v>251000</v>
      </c>
      <c r="C14" s="42">
        <f>B14*$D$10</f>
        <v>1757000</v>
      </c>
    </row>
    <row r="15" spans="1:4" ht="15" thickBot="1" x14ac:dyDescent="0.35">
      <c r="A15" s="74">
        <v>38473</v>
      </c>
      <c r="B15" s="80">
        <v>221400</v>
      </c>
      <c r="C15" s="49">
        <f>B15*$D$10</f>
        <v>1549800</v>
      </c>
    </row>
    <row r="16" spans="1:4" x14ac:dyDescent="0.3">
      <c r="C16" s="1">
        <f>SUM(C11:C15)</f>
        <v>8362200</v>
      </c>
    </row>
    <row r="18" spans="1:5" x14ac:dyDescent="0.3">
      <c r="A18" s="32" t="s">
        <v>70</v>
      </c>
    </row>
    <row r="19" spans="1:5" ht="15" thickBot="1" x14ac:dyDescent="0.35">
      <c r="A19" s="78" t="s">
        <v>67</v>
      </c>
      <c r="B19" s="2" t="s">
        <v>66</v>
      </c>
      <c r="C19" s="59" t="s">
        <v>69</v>
      </c>
    </row>
    <row r="20" spans="1:5" x14ac:dyDescent="0.3">
      <c r="A20" s="77">
        <v>37012</v>
      </c>
      <c r="B20" s="79">
        <v>47000</v>
      </c>
      <c r="C20" s="48">
        <f>B20*$D$10</f>
        <v>329000</v>
      </c>
    </row>
    <row r="21" spans="1:5" x14ac:dyDescent="0.3">
      <c r="A21" s="73">
        <v>37377</v>
      </c>
      <c r="B21" s="80">
        <v>42000</v>
      </c>
      <c r="C21" s="42">
        <f>B21*$D$10</f>
        <v>294000</v>
      </c>
    </row>
    <row r="22" spans="1:5" x14ac:dyDescent="0.3">
      <c r="A22" s="73">
        <v>37742</v>
      </c>
      <c r="B22" s="80">
        <v>48600</v>
      </c>
      <c r="C22" s="42">
        <f>B22*$D$10</f>
        <v>340200</v>
      </c>
    </row>
    <row r="23" spans="1:5" x14ac:dyDescent="0.3">
      <c r="A23" s="73">
        <v>38108</v>
      </c>
      <c r="B23" s="80">
        <v>53200</v>
      </c>
      <c r="C23" s="42">
        <f>B23*$D$10</f>
        <v>372400</v>
      </c>
    </row>
    <row r="24" spans="1:5" ht="15" thickBot="1" x14ac:dyDescent="0.35">
      <c r="A24" s="74">
        <v>38473</v>
      </c>
      <c r="B24" s="80">
        <v>45100</v>
      </c>
      <c r="C24" s="49">
        <f>B24*$D$10</f>
        <v>315700</v>
      </c>
    </row>
    <row r="25" spans="1:5" x14ac:dyDescent="0.3">
      <c r="C25" s="1">
        <f>SUM(C20:C24)</f>
        <v>1651300</v>
      </c>
      <c r="E25" s="1">
        <f>C16+C25</f>
        <v>10013500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60780-2CD1-4E16-ACC7-07E45CDBD462}">
  <dimension ref="A1:D24"/>
  <sheetViews>
    <sheetView workbookViewId="0">
      <selection activeCell="B25" sqref="B25"/>
    </sheetView>
  </sheetViews>
  <sheetFormatPr defaultRowHeight="14.4" x14ac:dyDescent="0.3"/>
  <cols>
    <col min="1" max="1" width="34.33203125" bestFit="1" customWidth="1"/>
    <col min="2" max="2" width="17.5546875" customWidth="1"/>
    <col min="3" max="3" width="20.44140625" customWidth="1"/>
    <col min="4" max="4" width="18.33203125" customWidth="1"/>
  </cols>
  <sheetData>
    <row r="1" spans="1:4" ht="18" x14ac:dyDescent="0.35">
      <c r="A1" s="36" t="s">
        <v>28</v>
      </c>
    </row>
    <row r="2" spans="1:4" ht="15" thickBot="1" x14ac:dyDescent="0.35"/>
    <row r="3" spans="1:4" x14ac:dyDescent="0.3">
      <c r="A3" s="37" t="s">
        <v>29</v>
      </c>
      <c r="B3" s="38" t="s">
        <v>30</v>
      </c>
      <c r="C3" s="39" t="s">
        <v>31</v>
      </c>
      <c r="D3" s="37" t="s">
        <v>32</v>
      </c>
    </row>
    <row r="4" spans="1:4" x14ac:dyDescent="0.3">
      <c r="A4" s="40" t="s">
        <v>33</v>
      </c>
      <c r="B4" s="41">
        <v>7</v>
      </c>
      <c r="C4" s="14">
        <v>32000</v>
      </c>
      <c r="D4" s="42">
        <f t="shared" ref="D4:D10" si="0">B4*C4</f>
        <v>224000</v>
      </c>
    </row>
    <row r="5" spans="1:4" x14ac:dyDescent="0.3">
      <c r="A5" s="40" t="s">
        <v>34</v>
      </c>
      <c r="B5" s="41">
        <v>24</v>
      </c>
      <c r="C5" s="14">
        <v>43000</v>
      </c>
      <c r="D5" s="42">
        <f t="shared" si="0"/>
        <v>1032000</v>
      </c>
    </row>
    <row r="6" spans="1:4" x14ac:dyDescent="0.3">
      <c r="A6" s="40" t="s">
        <v>35</v>
      </c>
      <c r="B6" s="41">
        <v>55</v>
      </c>
      <c r="C6" s="14">
        <v>42000</v>
      </c>
      <c r="D6" s="42">
        <f t="shared" si="0"/>
        <v>2310000</v>
      </c>
    </row>
    <row r="7" spans="1:4" x14ac:dyDescent="0.3">
      <c r="A7" s="40" t="s">
        <v>36</v>
      </c>
      <c r="B7" s="41">
        <v>70</v>
      </c>
      <c r="C7" s="14">
        <v>45000</v>
      </c>
      <c r="D7" s="42">
        <f t="shared" si="0"/>
        <v>3150000</v>
      </c>
    </row>
    <row r="8" spans="1:4" x14ac:dyDescent="0.3">
      <c r="A8" s="40" t="s">
        <v>37</v>
      </c>
      <c r="B8" s="41">
        <v>103</v>
      </c>
      <c r="C8" s="14">
        <v>3000</v>
      </c>
      <c r="D8" s="42">
        <f t="shared" si="0"/>
        <v>309000</v>
      </c>
    </row>
    <row r="9" spans="1:4" x14ac:dyDescent="0.3">
      <c r="A9" s="40" t="s">
        <v>38</v>
      </c>
      <c r="B9" s="41">
        <v>57</v>
      </c>
      <c r="C9" s="14">
        <v>3000</v>
      </c>
      <c r="D9" s="42">
        <f t="shared" si="0"/>
        <v>171000</v>
      </c>
    </row>
    <row r="10" spans="1:4" ht="15" thickBot="1" x14ac:dyDescent="0.35">
      <c r="A10" s="43" t="s">
        <v>39</v>
      </c>
      <c r="B10" s="44">
        <v>3.9</v>
      </c>
      <c r="C10" s="16">
        <v>55000</v>
      </c>
      <c r="D10" s="45">
        <f t="shared" si="0"/>
        <v>214500</v>
      </c>
    </row>
    <row r="11" spans="1:4" ht="15" thickBot="1" x14ac:dyDescent="0.35">
      <c r="A11" s="46" t="s">
        <v>40</v>
      </c>
      <c r="D11" s="47">
        <f>SUM(D4:D10)</f>
        <v>7410500</v>
      </c>
    </row>
    <row r="12" spans="1:4" ht="15" thickBot="1" x14ac:dyDescent="0.35"/>
    <row r="13" spans="1:4" ht="15" thickBot="1" x14ac:dyDescent="0.35">
      <c r="A13" s="37" t="s">
        <v>41</v>
      </c>
    </row>
    <row r="14" spans="1:4" x14ac:dyDescent="0.3">
      <c r="A14" s="40" t="s">
        <v>42</v>
      </c>
      <c r="B14" s="48">
        <v>240000</v>
      </c>
    </row>
    <row r="15" spans="1:4" x14ac:dyDescent="0.3">
      <c r="A15" s="40" t="s">
        <v>43</v>
      </c>
      <c r="B15" s="40">
        <v>7</v>
      </c>
    </row>
    <row r="16" spans="1:4" ht="15" thickBot="1" x14ac:dyDescent="0.35">
      <c r="A16" s="43" t="s">
        <v>44</v>
      </c>
      <c r="B16" s="49">
        <f>B14*B15</f>
        <v>1680000</v>
      </c>
    </row>
    <row r="17" spans="1:2" ht="15" thickBot="1" x14ac:dyDescent="0.35"/>
    <row r="18" spans="1:2" x14ac:dyDescent="0.3">
      <c r="A18" s="50" t="s">
        <v>45</v>
      </c>
      <c r="B18" s="51">
        <v>11000000</v>
      </c>
    </row>
    <row r="19" spans="1:2" ht="15" thickBot="1" x14ac:dyDescent="0.35">
      <c r="A19" s="52" t="s">
        <v>46</v>
      </c>
      <c r="B19" s="16">
        <f>B18/30</f>
        <v>366666.66666666669</v>
      </c>
    </row>
    <row r="20" spans="1:2" ht="15" thickBot="1" x14ac:dyDescent="0.35"/>
    <row r="21" spans="1:2" ht="15" thickBot="1" x14ac:dyDescent="0.35">
      <c r="A21" s="53" t="s">
        <v>47</v>
      </c>
      <c r="B21" s="54">
        <f>D11+B16+B19</f>
        <v>9457166.666666666</v>
      </c>
    </row>
    <row r="22" spans="1:2" ht="15" thickBot="1" x14ac:dyDescent="0.35"/>
    <row r="23" spans="1:2" x14ac:dyDescent="0.3">
      <c r="A23" s="50" t="s">
        <v>48</v>
      </c>
      <c r="B23" s="55">
        <v>282</v>
      </c>
    </row>
    <row r="24" spans="1:2" ht="15" thickBot="1" x14ac:dyDescent="0.35">
      <c r="A24" s="56" t="s">
        <v>49</v>
      </c>
      <c r="B24" s="57">
        <f>B21/B23</f>
        <v>33536.05200945626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9128D-FB3A-48DE-AC7D-3C17402B3106}">
  <dimension ref="A1:E14"/>
  <sheetViews>
    <sheetView workbookViewId="0">
      <selection activeCell="B10" sqref="B10"/>
    </sheetView>
  </sheetViews>
  <sheetFormatPr defaultRowHeight="14.4" x14ac:dyDescent="0.3"/>
  <cols>
    <col min="1" max="1" width="10.33203125" bestFit="1" customWidth="1"/>
    <col min="2" max="2" width="20.109375" customWidth="1"/>
    <col min="3" max="3" width="15.21875" customWidth="1"/>
    <col min="4" max="4" width="11.21875" customWidth="1"/>
  </cols>
  <sheetData>
    <row r="1" spans="1:5" ht="36.6" customHeight="1" thickBot="1" x14ac:dyDescent="0.35">
      <c r="A1" s="85" t="s">
        <v>67</v>
      </c>
      <c r="B1" s="86" t="s">
        <v>71</v>
      </c>
      <c r="C1" s="86" t="s">
        <v>72</v>
      </c>
      <c r="D1" s="86" t="s">
        <v>73</v>
      </c>
      <c r="E1" s="87" t="s">
        <v>63</v>
      </c>
    </row>
    <row r="2" spans="1:5" x14ac:dyDescent="0.3">
      <c r="A2" s="92">
        <v>46143</v>
      </c>
      <c r="B2" s="70">
        <v>309.79300000000001</v>
      </c>
      <c r="C2" s="88">
        <v>296.88299999999998</v>
      </c>
      <c r="D2" s="89">
        <v>95.83</v>
      </c>
      <c r="E2" s="55">
        <f>D2-100</f>
        <v>-4.1700000000000017</v>
      </c>
    </row>
    <row r="3" spans="1:5" x14ac:dyDescent="0.3">
      <c r="A3" s="93">
        <v>46144</v>
      </c>
      <c r="B3" s="41">
        <v>409.17</v>
      </c>
      <c r="C3" s="2">
        <v>389.47</v>
      </c>
      <c r="D3" s="84">
        <v>95.19</v>
      </c>
      <c r="E3" s="63">
        <f t="shared" ref="E3:E6" si="0">D3-100</f>
        <v>-4.8100000000000023</v>
      </c>
    </row>
    <row r="4" spans="1:5" x14ac:dyDescent="0.3">
      <c r="A4" s="93">
        <v>46145</v>
      </c>
      <c r="B4" s="41">
        <v>404.19200000000001</v>
      </c>
      <c r="C4" s="2">
        <v>388.22500000000002</v>
      </c>
      <c r="D4" s="84">
        <v>96.05</v>
      </c>
      <c r="E4" s="63">
        <f t="shared" si="0"/>
        <v>-3.9500000000000028</v>
      </c>
    </row>
    <row r="5" spans="1:5" x14ac:dyDescent="0.3">
      <c r="A5" s="93">
        <v>46146</v>
      </c>
      <c r="B5" s="41">
        <v>319.51799999999997</v>
      </c>
      <c r="C5" s="2">
        <v>307.67</v>
      </c>
      <c r="D5" s="84">
        <v>96.29</v>
      </c>
      <c r="E5" s="63">
        <f t="shared" si="0"/>
        <v>-3.7099999999999937</v>
      </c>
    </row>
    <row r="6" spans="1:5" ht="15" thickBot="1" x14ac:dyDescent="0.35">
      <c r="A6" s="94">
        <v>46147</v>
      </c>
      <c r="B6" s="44">
        <v>377.93700000000001</v>
      </c>
      <c r="C6" s="90">
        <v>362.29500000000002</v>
      </c>
      <c r="D6" s="91">
        <v>95.86</v>
      </c>
      <c r="E6" s="64">
        <f t="shared" si="0"/>
        <v>-4.1400000000000006</v>
      </c>
    </row>
    <row r="9" spans="1:5" x14ac:dyDescent="0.3">
      <c r="B9" t="s">
        <v>55</v>
      </c>
    </row>
    <row r="10" spans="1:5" x14ac:dyDescent="0.3">
      <c r="B10">
        <v>430</v>
      </c>
      <c r="C10">
        <f>B10-B2</f>
        <v>120.20699999999999</v>
      </c>
    </row>
    <row r="11" spans="1:5" x14ac:dyDescent="0.3">
      <c r="B11">
        <v>456.7</v>
      </c>
      <c r="C11">
        <f t="shared" ref="C11:C14" si="1">B11-B3</f>
        <v>47.529999999999973</v>
      </c>
    </row>
    <row r="12" spans="1:5" x14ac:dyDescent="0.3">
      <c r="B12">
        <v>329.1</v>
      </c>
      <c r="C12">
        <f>B12-B4</f>
        <v>-75.091999999999985</v>
      </c>
    </row>
    <row r="13" spans="1:5" x14ac:dyDescent="0.3">
      <c r="B13">
        <v>383.7</v>
      </c>
      <c r="C13">
        <f t="shared" si="1"/>
        <v>64.182000000000016</v>
      </c>
    </row>
    <row r="14" spans="1:5" x14ac:dyDescent="0.3">
      <c r="B14">
        <v>431.3</v>
      </c>
      <c r="C14">
        <f t="shared" si="1"/>
        <v>53.363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8982A-D594-4919-8297-CD2773A459C3}">
  <dimension ref="A1:I42"/>
  <sheetViews>
    <sheetView tabSelected="1" workbookViewId="0">
      <selection activeCell="B48" sqref="B48"/>
    </sheetView>
  </sheetViews>
  <sheetFormatPr defaultRowHeight="14.4" x14ac:dyDescent="0.3"/>
  <cols>
    <col min="1" max="1" width="10.33203125" bestFit="1" customWidth="1"/>
    <col min="2" max="2" width="21.44140625" customWidth="1"/>
    <col min="3" max="3" width="15.6640625" customWidth="1"/>
    <col min="4" max="4" width="13.21875" bestFit="1" customWidth="1"/>
    <col min="5" max="5" width="14.44140625" bestFit="1" customWidth="1"/>
    <col min="6" max="7" width="23" bestFit="1" customWidth="1"/>
    <col min="8" max="8" width="21" bestFit="1" customWidth="1"/>
    <col min="9" max="9" width="15.44140625" bestFit="1" customWidth="1"/>
  </cols>
  <sheetData>
    <row r="1" spans="1:9" x14ac:dyDescent="0.3">
      <c r="B1" s="125" t="s">
        <v>7</v>
      </c>
      <c r="C1" s="126"/>
      <c r="D1" s="126"/>
      <c r="E1" s="126"/>
      <c r="F1" s="127"/>
    </row>
    <row r="2" spans="1:9" ht="15" thickBot="1" x14ac:dyDescent="0.35">
      <c r="B2" s="128"/>
      <c r="C2" s="129"/>
      <c r="D2" s="129"/>
      <c r="E2" s="129"/>
      <c r="F2" s="130"/>
    </row>
    <row r="3" spans="1:9" ht="15" thickBot="1" x14ac:dyDescent="0.35">
      <c r="A3" s="6"/>
      <c r="B3" s="122" t="s">
        <v>5</v>
      </c>
      <c r="C3" s="123"/>
      <c r="D3" s="124"/>
      <c r="E3" s="122" t="s">
        <v>1</v>
      </c>
      <c r="F3" s="123"/>
      <c r="G3" s="124"/>
      <c r="H3" s="131" t="s">
        <v>17</v>
      </c>
      <c r="I3" s="132"/>
    </row>
    <row r="4" spans="1:9" x14ac:dyDescent="0.3">
      <c r="A4" s="6" t="s">
        <v>0</v>
      </c>
      <c r="B4" s="17" t="s">
        <v>2</v>
      </c>
      <c r="C4" s="18" t="s">
        <v>3</v>
      </c>
      <c r="D4" s="19" t="s">
        <v>4</v>
      </c>
      <c r="E4" s="17" t="s">
        <v>2</v>
      </c>
      <c r="F4" s="18" t="s">
        <v>3</v>
      </c>
      <c r="G4" s="29" t="s">
        <v>6</v>
      </c>
      <c r="H4" s="24" t="s">
        <v>15</v>
      </c>
      <c r="I4" s="24" t="s">
        <v>16</v>
      </c>
    </row>
    <row r="5" spans="1:9" x14ac:dyDescent="0.3">
      <c r="A5" s="7">
        <v>46143</v>
      </c>
      <c r="B5" s="8">
        <v>346720</v>
      </c>
      <c r="C5" s="9">
        <v>17530</v>
      </c>
      <c r="D5" s="12">
        <f>B5+C5</f>
        <v>364250</v>
      </c>
      <c r="E5" s="13">
        <v>18576309</v>
      </c>
      <c r="F5" s="14">
        <v>915845</v>
      </c>
      <c r="G5" s="30">
        <f>E5+F5</f>
        <v>19492154</v>
      </c>
      <c r="H5" s="5">
        <f>E5/B5</f>
        <v>53.577264074757728</v>
      </c>
      <c r="I5" s="5">
        <f>F5/C5</f>
        <v>52.244438106103821</v>
      </c>
    </row>
    <row r="6" spans="1:9" x14ac:dyDescent="0.3">
      <c r="A6" s="7">
        <v>46144</v>
      </c>
      <c r="B6" s="8">
        <v>224100</v>
      </c>
      <c r="C6" s="9">
        <v>52890</v>
      </c>
      <c r="D6" s="12">
        <f>B6+C6</f>
        <v>276990</v>
      </c>
      <c r="E6" s="13">
        <v>12071957</v>
      </c>
      <c r="F6" s="14">
        <v>2758599</v>
      </c>
      <c r="G6" s="30">
        <f t="shared" ref="G6:G9" si="0">E6+F6</f>
        <v>14830556</v>
      </c>
      <c r="H6" s="5">
        <f t="shared" ref="H6:H9" si="1">E6/B6</f>
        <v>53.868616688978136</v>
      </c>
      <c r="I6" s="5">
        <f t="shared" ref="I6:I9" si="2">F6/C6</f>
        <v>52.157288712422009</v>
      </c>
    </row>
    <row r="7" spans="1:9" x14ac:dyDescent="0.3">
      <c r="A7" s="7">
        <v>46145</v>
      </c>
      <c r="B7" s="8">
        <v>74880</v>
      </c>
      <c r="C7" s="9">
        <v>19980</v>
      </c>
      <c r="D7" s="12">
        <f>B7+C7</f>
        <v>94860</v>
      </c>
      <c r="E7" s="13">
        <v>4045833</v>
      </c>
      <c r="F7" s="14">
        <v>1033221</v>
      </c>
      <c r="G7" s="30">
        <f t="shared" si="0"/>
        <v>5079054</v>
      </c>
      <c r="H7" s="5">
        <f t="shared" si="1"/>
        <v>54.030889423076921</v>
      </c>
      <c r="I7" s="5">
        <f t="shared" si="2"/>
        <v>51.712762762762765</v>
      </c>
    </row>
    <row r="8" spans="1:9" x14ac:dyDescent="0.3">
      <c r="A8" s="7">
        <v>46146</v>
      </c>
      <c r="B8" s="8">
        <v>326380</v>
      </c>
      <c r="C8" s="9">
        <v>62010</v>
      </c>
      <c r="D8" s="12">
        <f>B8+C8</f>
        <v>388390</v>
      </c>
      <c r="E8" s="13">
        <v>17484957</v>
      </c>
      <c r="F8" s="14">
        <v>3131498</v>
      </c>
      <c r="G8" s="30">
        <f t="shared" si="0"/>
        <v>20616455</v>
      </c>
      <c r="H8" s="5">
        <f t="shared" si="1"/>
        <v>53.572391077884674</v>
      </c>
      <c r="I8" s="5">
        <f t="shared" si="2"/>
        <v>50.499887114981455</v>
      </c>
    </row>
    <row r="9" spans="1:9" ht="15" thickBot="1" x14ac:dyDescent="0.35">
      <c r="A9" s="7">
        <v>46147</v>
      </c>
      <c r="B9" s="10">
        <v>358310</v>
      </c>
      <c r="C9" s="11">
        <v>65280</v>
      </c>
      <c r="D9" s="20">
        <f>B9+C9</f>
        <v>423590</v>
      </c>
      <c r="E9" s="15">
        <v>19057325</v>
      </c>
      <c r="F9" s="16">
        <v>3290677</v>
      </c>
      <c r="G9" s="31">
        <f t="shared" si="0"/>
        <v>22348002</v>
      </c>
      <c r="H9" s="5">
        <f t="shared" si="1"/>
        <v>53.186695877871117</v>
      </c>
      <c r="I9" s="5">
        <f t="shared" si="2"/>
        <v>50.408655024509805</v>
      </c>
    </row>
    <row r="10" spans="1:9" ht="15" thickBot="1" x14ac:dyDescent="0.35">
      <c r="D10" s="21">
        <f>SUM(D5:D9)</f>
        <v>1548080</v>
      </c>
      <c r="G10" s="22">
        <f>SUM(G5:G9)</f>
        <v>82366221</v>
      </c>
    </row>
    <row r="12" spans="1:9" ht="14.4" customHeight="1" x14ac:dyDescent="0.4">
      <c r="B12" s="23"/>
      <c r="C12" s="23"/>
      <c r="D12" s="23"/>
      <c r="E12" s="23"/>
      <c r="F12" s="23"/>
    </row>
    <row r="13" spans="1:9" ht="14.4" customHeight="1" x14ac:dyDescent="0.3">
      <c r="B13" t="s">
        <v>74</v>
      </c>
      <c r="C13">
        <f>D10/1000</f>
        <v>1548.08</v>
      </c>
      <c r="D13" t="s">
        <v>75</v>
      </c>
    </row>
    <row r="14" spans="1:9" ht="15" customHeight="1" x14ac:dyDescent="0.4">
      <c r="B14" t="s">
        <v>6</v>
      </c>
      <c r="C14" s="1">
        <v>82366221</v>
      </c>
      <c r="E14" s="23"/>
    </row>
    <row r="16" spans="1:9" ht="21" x14ac:dyDescent="0.4">
      <c r="B16" s="23" t="s">
        <v>76</v>
      </c>
    </row>
    <row r="18" spans="1:5" x14ac:dyDescent="0.3">
      <c r="B18" t="s">
        <v>77</v>
      </c>
    </row>
    <row r="19" spans="1:5" x14ac:dyDescent="0.3">
      <c r="B19" s="1">
        <f>C14/C13</f>
        <v>53205.403467521064</v>
      </c>
    </row>
    <row r="22" spans="1:5" ht="21" x14ac:dyDescent="0.4">
      <c r="A22" s="23" t="s">
        <v>78</v>
      </c>
      <c r="E22">
        <v>1000</v>
      </c>
    </row>
    <row r="23" spans="1:5" x14ac:dyDescent="0.3">
      <c r="A23" s="6" t="s">
        <v>0</v>
      </c>
      <c r="B23" s="4" t="s">
        <v>79</v>
      </c>
    </row>
    <row r="24" spans="1:5" x14ac:dyDescent="0.3">
      <c r="A24" s="7">
        <v>46143</v>
      </c>
      <c r="B24" s="4">
        <v>364.25</v>
      </c>
    </row>
    <row r="25" spans="1:5" x14ac:dyDescent="0.3">
      <c r="A25" s="7">
        <v>46144</v>
      </c>
      <c r="B25" s="4">
        <v>276.99</v>
      </c>
    </row>
    <row r="26" spans="1:5" x14ac:dyDescent="0.3">
      <c r="A26" s="7">
        <v>46145</v>
      </c>
      <c r="B26" s="4">
        <v>94.86</v>
      </c>
    </row>
    <row r="27" spans="1:5" x14ac:dyDescent="0.3">
      <c r="A27" s="7">
        <v>46146</v>
      </c>
      <c r="B27" s="4">
        <v>388.39</v>
      </c>
    </row>
    <row r="28" spans="1:5" x14ac:dyDescent="0.3">
      <c r="A28" s="7">
        <v>46147</v>
      </c>
      <c r="B28" s="4">
        <v>423.59</v>
      </c>
    </row>
    <row r="36" spans="1:2" ht="25.8" x14ac:dyDescent="0.5">
      <c r="A36" s="95" t="s">
        <v>81</v>
      </c>
    </row>
    <row r="37" spans="1:2" x14ac:dyDescent="0.3">
      <c r="A37" s="6" t="s">
        <v>0</v>
      </c>
      <c r="B37" s="4" t="s">
        <v>80</v>
      </c>
    </row>
    <row r="38" spans="1:2" x14ac:dyDescent="0.3">
      <c r="A38" s="7">
        <v>46143</v>
      </c>
      <c r="B38" s="5">
        <v>19492154</v>
      </c>
    </row>
    <row r="39" spans="1:2" x14ac:dyDescent="0.3">
      <c r="A39" s="7">
        <v>46144</v>
      </c>
      <c r="B39" s="5">
        <v>14830556</v>
      </c>
    </row>
    <row r="40" spans="1:2" x14ac:dyDescent="0.3">
      <c r="A40" s="7">
        <v>46145</v>
      </c>
      <c r="B40" s="5">
        <v>5079054</v>
      </c>
    </row>
    <row r="41" spans="1:2" x14ac:dyDescent="0.3">
      <c r="A41" s="7">
        <v>46146</v>
      </c>
      <c r="B41" s="5">
        <v>20616455</v>
      </c>
    </row>
    <row r="42" spans="1:2" x14ac:dyDescent="0.3">
      <c r="A42" s="7">
        <v>46147</v>
      </c>
      <c r="B42" s="5">
        <v>22348002</v>
      </c>
    </row>
  </sheetData>
  <mergeCells count="4">
    <mergeCell ref="B3:D3"/>
    <mergeCell ref="E3:G3"/>
    <mergeCell ref="B1:F2"/>
    <mergeCell ref="H3: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final dashboard </vt:lpstr>
      <vt:lpstr>purchase</vt:lpstr>
      <vt:lpstr>RM USEDand produced BILLET)</vt:lpstr>
      <vt:lpstr>Billet Production per 24 hrs</vt:lpstr>
      <vt:lpstr>operation cost </vt:lpstr>
      <vt:lpstr>1 ton billet production cost </vt:lpstr>
      <vt:lpstr>TMT production 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M. Tajamulla Abdulla Khan</dc:creator>
  <cp:lastModifiedBy>K. M. Tajamulla Abdulla Khan</cp:lastModifiedBy>
  <dcterms:created xsi:type="dcterms:W3CDTF">2026-05-08T05:48:47Z</dcterms:created>
  <dcterms:modified xsi:type="dcterms:W3CDTF">2026-05-25T06:50:31Z</dcterms:modified>
</cp:coreProperties>
</file>