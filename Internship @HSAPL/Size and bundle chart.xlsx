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3fa0a8ec6a60ca/Desktop/Internship @HSAPL/"/>
    </mc:Choice>
  </mc:AlternateContent>
  <xr:revisionPtr revIDLastSave="102" documentId="8_{4D074E83-27C6-45FC-8CFB-FCD71271ABF3}" xr6:coauthVersionLast="47" xr6:coauthVersionMax="47" xr10:uidLastSave="{FF319C15-3BBD-4790-8229-265D8993AD86}"/>
  <bookViews>
    <workbookView xWindow="-108" yWindow="-108" windowWidth="23256" windowHeight="12456" xr2:uid="{CD8A10FC-B68F-460A-9AB0-3E0B5BAC2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F9" i="1" s="1"/>
  <c r="G9" i="1" s="1"/>
  <c r="I9" i="1" s="1"/>
  <c r="E14" i="1"/>
  <c r="F14" i="1" s="1"/>
  <c r="G14" i="1" s="1"/>
  <c r="I14" i="1" s="1"/>
  <c r="K14" i="1" s="1"/>
  <c r="D9" i="1"/>
  <c r="D10" i="1"/>
  <c r="E10" i="1" s="1"/>
  <c r="F10" i="1" s="1"/>
  <c r="G10" i="1" s="1"/>
  <c r="I10" i="1" s="1"/>
  <c r="D11" i="1"/>
  <c r="E11" i="1" s="1"/>
  <c r="F11" i="1" s="1"/>
  <c r="G11" i="1" s="1"/>
  <c r="I11" i="1" s="1"/>
  <c r="D12" i="1"/>
  <c r="E12" i="1" s="1"/>
  <c r="F12" i="1" s="1"/>
  <c r="G12" i="1" s="1"/>
  <c r="I12" i="1" s="1"/>
  <c r="D13" i="1"/>
  <c r="E13" i="1" s="1"/>
  <c r="F13" i="1" s="1"/>
  <c r="G13" i="1" s="1"/>
  <c r="I13" i="1" s="1"/>
  <c r="D14" i="1"/>
  <c r="D15" i="1"/>
  <c r="E15" i="1" s="1"/>
  <c r="F15" i="1" s="1"/>
  <c r="G15" i="1" s="1"/>
  <c r="I15" i="1" s="1"/>
  <c r="D8" i="1"/>
  <c r="E8" i="1" s="1"/>
  <c r="F8" i="1" s="1"/>
  <c r="G8" i="1" s="1"/>
  <c r="I8" i="1" s="1"/>
  <c r="J8" i="1" l="1"/>
  <c r="K8" i="1"/>
  <c r="K12" i="1"/>
  <c r="J12" i="1"/>
  <c r="K10" i="1"/>
  <c r="J10" i="1"/>
  <c r="K13" i="1"/>
  <c r="J13" i="1"/>
  <c r="K11" i="1"/>
  <c r="J11" i="1"/>
  <c r="J9" i="1"/>
  <c r="K9" i="1"/>
  <c r="J14" i="1"/>
</calcChain>
</file>

<file path=xl/sharedStrings.xml><?xml version="1.0" encoding="utf-8"?>
<sst xmlns="http://schemas.openxmlformats.org/spreadsheetml/2006/main" count="24" uniqueCount="22">
  <si>
    <t xml:space="preserve">size and weight of TMT Bars Each length and Each Bundle </t>
  </si>
  <si>
    <t xml:space="preserve">The Density will be fixed for iron Bars all over the universe and it is default value </t>
  </si>
  <si>
    <t xml:space="preserve">Density </t>
  </si>
  <si>
    <t xml:space="preserve">radius </t>
  </si>
  <si>
    <t>10mm</t>
  </si>
  <si>
    <t>12mm</t>
  </si>
  <si>
    <t>16mm</t>
  </si>
  <si>
    <t xml:space="preserve">size </t>
  </si>
  <si>
    <t xml:space="preserve">diameter </t>
  </si>
  <si>
    <t xml:space="preserve">qty of each bundle </t>
  </si>
  <si>
    <t xml:space="preserve">weight of each bundle </t>
  </si>
  <si>
    <t>8mm</t>
  </si>
  <si>
    <t>20mm</t>
  </si>
  <si>
    <t>25mm</t>
  </si>
  <si>
    <t>32mm</t>
  </si>
  <si>
    <t>44mm</t>
  </si>
  <si>
    <t>area (pi=3.14*r*r)</t>
  </si>
  <si>
    <t xml:space="preserve">volume (area*density) Weight per mtr </t>
  </si>
  <si>
    <t>weight per length default 11m</t>
  </si>
  <si>
    <t>(+)</t>
  </si>
  <si>
    <t>(-)</t>
  </si>
  <si>
    <t xml:space="preserve">TMT Rod tolerance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</si>
</sst>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0.000000%"/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74D8-6B3B-4036-A57C-18C3D62E2911}">
  <dimension ref="B1:O32"/>
  <sheetViews>
    <sheetView tabSelected="1" topLeftCell="B1" zoomScale="125" workbookViewId="0">
      <pane ySplit="1" topLeftCell="A2" activePane="bottomLeft" state="frozen"/>
      <selection activeCell="B1" sqref="B1"/>
      <selection pane="bottomLeft" activeCell="B1" sqref="B1:C1"/>
    </sheetView>
  </sheetViews>
  <sheetFormatPr defaultRowHeight="14.4" x14ac:dyDescent="0.3"/>
  <cols>
    <col min="1" max="1" width="15" bestFit="1" customWidth="1"/>
    <col min="2" max="2" width="16.44140625" customWidth="1"/>
    <col min="3" max="3" width="12.44140625" customWidth="1"/>
    <col min="4" max="4" width="20.109375" customWidth="1"/>
    <col min="5" max="5" width="10.21875" customWidth="1"/>
    <col min="6" max="6" width="10.5546875" customWidth="1"/>
    <col min="7" max="7" width="11.33203125" customWidth="1"/>
    <col min="8" max="8" width="12.21875" customWidth="1"/>
    <col min="9" max="9" width="10.44140625" customWidth="1"/>
    <col min="10" max="10" width="22.33203125" bestFit="1" customWidth="1"/>
    <col min="11" max="11" width="13" customWidth="1"/>
  </cols>
  <sheetData>
    <row r="1" spans="2:15" x14ac:dyDescent="0.3">
      <c r="B1" t="s">
        <v>2</v>
      </c>
      <c r="C1">
        <v>7.8499999999999993E-3</v>
      </c>
      <c r="H1" s="9" t="s">
        <v>0</v>
      </c>
      <c r="I1" s="9"/>
      <c r="J1" s="9"/>
      <c r="K1" s="9"/>
      <c r="L1" s="9"/>
      <c r="M1" s="9"/>
      <c r="N1" s="9"/>
      <c r="O1" s="9"/>
    </row>
    <row r="2" spans="2:15" x14ac:dyDescent="0.3">
      <c r="H2" s="9"/>
      <c r="I2" s="9"/>
      <c r="J2" s="9"/>
      <c r="K2" s="9"/>
      <c r="L2" s="9"/>
      <c r="M2" s="9"/>
      <c r="N2" s="9"/>
      <c r="O2" s="9"/>
    </row>
    <row r="3" spans="2:15" x14ac:dyDescent="0.3">
      <c r="B3" t="s">
        <v>1</v>
      </c>
    </row>
    <row r="6" spans="2:15" x14ac:dyDescent="0.3">
      <c r="E6" s="1">
        <v>3.14</v>
      </c>
      <c r="F6" s="1">
        <v>7.8499999999999993E-3</v>
      </c>
      <c r="G6" s="1">
        <v>11</v>
      </c>
      <c r="J6" t="s">
        <v>21</v>
      </c>
    </row>
    <row r="7" spans="2:15" ht="57.6" x14ac:dyDescent="0.3">
      <c r="B7" s="1" t="s">
        <v>7</v>
      </c>
      <c r="C7" s="1" t="s">
        <v>8</v>
      </c>
      <c r="D7" s="1" t="s">
        <v>3</v>
      </c>
      <c r="E7" s="2" t="s">
        <v>16</v>
      </c>
      <c r="F7" s="2" t="s">
        <v>17</v>
      </c>
      <c r="G7" s="2" t="s">
        <v>18</v>
      </c>
      <c r="H7" s="1" t="s">
        <v>9</v>
      </c>
      <c r="I7" s="1" t="s">
        <v>10</v>
      </c>
      <c r="J7" s="3" t="s">
        <v>19</v>
      </c>
      <c r="K7" s="3" t="s">
        <v>20</v>
      </c>
    </row>
    <row r="8" spans="2:15" x14ac:dyDescent="0.3">
      <c r="B8" s="1" t="s">
        <v>11</v>
      </c>
      <c r="C8" s="1">
        <v>8</v>
      </c>
      <c r="D8" s="1">
        <f>C8/2</f>
        <v>4</v>
      </c>
      <c r="E8" s="1">
        <f t="shared" ref="E8:E15" si="0">$E$6*D8*D8</f>
        <v>50.24</v>
      </c>
      <c r="F8" s="2">
        <f t="shared" ref="F8:F15" si="1">E8*$F$6</f>
        <v>0.39438399999999996</v>
      </c>
      <c r="G8" s="1">
        <f t="shared" ref="G8:G15" si="2">F8*$G$6</f>
        <v>4.3382239999999994</v>
      </c>
      <c r="H8" s="1">
        <v>10</v>
      </c>
      <c r="I8" s="1">
        <f>G8*H8</f>
        <v>43.382239999999996</v>
      </c>
      <c r="J8" s="5">
        <f>I8+7%</f>
        <v>43.452239999999996</v>
      </c>
      <c r="K8" s="5">
        <f>I8-7%</f>
        <v>43.312239999999996</v>
      </c>
      <c r="L8" s="4">
        <v>7.0000000000000007E-2</v>
      </c>
    </row>
    <row r="9" spans="2:15" x14ac:dyDescent="0.3">
      <c r="B9" s="1" t="s">
        <v>4</v>
      </c>
      <c r="C9" s="1">
        <v>10</v>
      </c>
      <c r="D9" s="1">
        <f t="shared" ref="D9:D15" si="3">C9/2</f>
        <v>5</v>
      </c>
      <c r="E9" s="1">
        <f t="shared" si="0"/>
        <v>78.5</v>
      </c>
      <c r="F9" s="1">
        <f t="shared" si="1"/>
        <v>0.61622499999999991</v>
      </c>
      <c r="G9" s="1">
        <f t="shared" si="2"/>
        <v>6.7784749999999994</v>
      </c>
      <c r="H9" s="1">
        <v>7</v>
      </c>
      <c r="I9" s="1">
        <f t="shared" ref="I9:I15" si="4">G9*H9</f>
        <v>47.449324999999995</v>
      </c>
      <c r="J9" s="6">
        <f>I9+7%</f>
        <v>47.519324999999995</v>
      </c>
      <c r="K9" s="5">
        <f>I9-7%</f>
        <v>47.379324999999994</v>
      </c>
      <c r="L9" s="4">
        <v>7.0000000000000007E-2</v>
      </c>
    </row>
    <row r="10" spans="2:15" x14ac:dyDescent="0.3">
      <c r="B10" s="1" t="s">
        <v>5</v>
      </c>
      <c r="C10" s="1">
        <v>12</v>
      </c>
      <c r="D10" s="1">
        <f t="shared" si="3"/>
        <v>6</v>
      </c>
      <c r="E10" s="1">
        <f t="shared" si="0"/>
        <v>113.03999999999999</v>
      </c>
      <c r="F10" s="1">
        <f t="shared" si="1"/>
        <v>0.88736399999999982</v>
      </c>
      <c r="G10" s="1">
        <f t="shared" si="2"/>
        <v>9.761003999999998</v>
      </c>
      <c r="H10" s="1">
        <v>5</v>
      </c>
      <c r="I10" s="1">
        <f t="shared" si="4"/>
        <v>48.805019999999992</v>
      </c>
      <c r="J10" s="5">
        <f>I10+5%</f>
        <v>48.855019999999989</v>
      </c>
      <c r="K10" s="5">
        <f>I10-5%</f>
        <v>48.755019999999995</v>
      </c>
      <c r="L10" s="4">
        <v>0.05</v>
      </c>
    </row>
    <row r="11" spans="2:15" x14ac:dyDescent="0.3">
      <c r="B11" s="1" t="s">
        <v>6</v>
      </c>
      <c r="C11" s="1">
        <v>16</v>
      </c>
      <c r="D11" s="1">
        <f t="shared" si="3"/>
        <v>8</v>
      </c>
      <c r="E11" s="1">
        <f t="shared" si="0"/>
        <v>200.96</v>
      </c>
      <c r="F11" s="1">
        <f t="shared" si="1"/>
        <v>1.5775359999999998</v>
      </c>
      <c r="G11" s="1">
        <f t="shared" si="2"/>
        <v>17.352895999999998</v>
      </c>
      <c r="H11" s="1">
        <v>3</v>
      </c>
      <c r="I11" s="1">
        <f t="shared" si="4"/>
        <v>52.058687999999989</v>
      </c>
      <c r="J11" s="5">
        <f>I11+5%</f>
        <v>52.108687999999987</v>
      </c>
      <c r="K11" s="5">
        <f>I11-5%</f>
        <v>52.008687999999992</v>
      </c>
      <c r="L11" s="4">
        <v>0.05</v>
      </c>
    </row>
    <row r="12" spans="2:15" x14ac:dyDescent="0.3">
      <c r="B12" s="1" t="s">
        <v>12</v>
      </c>
      <c r="C12" s="1">
        <v>20</v>
      </c>
      <c r="D12" s="1">
        <f t="shared" si="3"/>
        <v>10</v>
      </c>
      <c r="E12" s="1">
        <f t="shared" si="0"/>
        <v>314</v>
      </c>
      <c r="F12" s="1">
        <f t="shared" si="1"/>
        <v>2.4648999999999996</v>
      </c>
      <c r="G12" s="1">
        <f t="shared" si="2"/>
        <v>27.113899999999997</v>
      </c>
      <c r="H12" s="1">
        <v>2</v>
      </c>
      <c r="I12" s="1">
        <f t="shared" si="4"/>
        <v>54.227799999999995</v>
      </c>
      <c r="J12" s="7">
        <f>I12+3%</f>
        <v>54.257799999999996</v>
      </c>
      <c r="K12" s="7">
        <f>I12-3%</f>
        <v>54.197799999999994</v>
      </c>
      <c r="L12" s="4">
        <v>0.03</v>
      </c>
    </row>
    <row r="13" spans="2:15" x14ac:dyDescent="0.3">
      <c r="B13" s="1" t="s">
        <v>13</v>
      </c>
      <c r="C13" s="1">
        <v>25</v>
      </c>
      <c r="D13" s="1">
        <f t="shared" si="3"/>
        <v>12.5</v>
      </c>
      <c r="E13" s="1">
        <f t="shared" si="0"/>
        <v>490.625</v>
      </c>
      <c r="F13" s="1">
        <f t="shared" si="1"/>
        <v>3.8514062499999997</v>
      </c>
      <c r="G13" s="1">
        <f t="shared" si="2"/>
        <v>42.365468749999998</v>
      </c>
      <c r="H13" s="1">
        <v>1</v>
      </c>
      <c r="I13" s="1">
        <f t="shared" si="4"/>
        <v>42.365468749999998</v>
      </c>
      <c r="J13" s="7">
        <f t="shared" ref="J13:J14" si="5">I13+3%</f>
        <v>42.395468749999999</v>
      </c>
      <c r="K13" s="7">
        <f t="shared" ref="K13:K14" si="6">I13-3%</f>
        <v>42.335468749999997</v>
      </c>
      <c r="L13" s="4">
        <v>0.03</v>
      </c>
    </row>
    <row r="14" spans="2:15" x14ac:dyDescent="0.3">
      <c r="B14" s="1" t="s">
        <v>14</v>
      </c>
      <c r="C14" s="1">
        <v>32</v>
      </c>
      <c r="D14" s="1">
        <f t="shared" si="3"/>
        <v>16</v>
      </c>
      <c r="E14" s="1">
        <f t="shared" si="0"/>
        <v>803.84</v>
      </c>
      <c r="F14" s="1">
        <f t="shared" si="1"/>
        <v>6.3101439999999993</v>
      </c>
      <c r="G14" s="1">
        <f t="shared" si="2"/>
        <v>69.411583999999991</v>
      </c>
      <c r="H14" s="1">
        <v>1</v>
      </c>
      <c r="I14" s="1">
        <f t="shared" si="4"/>
        <v>69.411583999999991</v>
      </c>
      <c r="J14" s="7">
        <f t="shared" si="5"/>
        <v>69.441583999999992</v>
      </c>
      <c r="K14" s="7">
        <f t="shared" si="6"/>
        <v>69.381583999999989</v>
      </c>
      <c r="L14" s="4">
        <v>0.03</v>
      </c>
    </row>
    <row r="15" spans="2:15" x14ac:dyDescent="0.3">
      <c r="B15" s="1" t="s">
        <v>15</v>
      </c>
      <c r="C15" s="1">
        <v>44</v>
      </c>
      <c r="D15" s="1">
        <f t="shared" si="3"/>
        <v>22</v>
      </c>
      <c r="E15" s="1">
        <f t="shared" si="0"/>
        <v>1519.76</v>
      </c>
      <c r="F15" s="1">
        <f t="shared" si="1"/>
        <v>11.930115999999998</v>
      </c>
      <c r="G15" s="1">
        <f t="shared" si="2"/>
        <v>131.23127599999998</v>
      </c>
      <c r="H15" s="1">
        <v>1</v>
      </c>
      <c r="I15" s="1">
        <f t="shared" si="4"/>
        <v>131.23127599999998</v>
      </c>
    </row>
    <row r="21" spans="2:11" x14ac:dyDescent="0.3">
      <c r="B21" s="1"/>
      <c r="J21" t="s">
        <v>13</v>
      </c>
      <c r="K21" t="s">
        <v>14</v>
      </c>
    </row>
    <row r="22" spans="2:11" x14ac:dyDescent="0.3">
      <c r="B22" s="1"/>
    </row>
    <row r="23" spans="2:11" x14ac:dyDescent="0.3">
      <c r="B23" s="1"/>
    </row>
    <row r="24" spans="2:11" x14ac:dyDescent="0.3">
      <c r="B24" s="1"/>
    </row>
    <row r="25" spans="2:11" x14ac:dyDescent="0.3">
      <c r="B25" s="1"/>
    </row>
    <row r="26" spans="2:11" x14ac:dyDescent="0.3">
      <c r="B26" s="1"/>
    </row>
    <row r="27" spans="2:11" x14ac:dyDescent="0.3">
      <c r="B27" s="1"/>
    </row>
    <row r="28" spans="2:11" x14ac:dyDescent="0.3">
      <c r="B28" s="1"/>
    </row>
    <row r="29" spans="2:11" x14ac:dyDescent="0.3">
      <c r="B29" s="1"/>
    </row>
    <row r="30" spans="2:11" ht="12.6" customHeight="1" x14ac:dyDescent="0.3">
      <c r="B30" s="8"/>
    </row>
    <row r="31" spans="2:11" x14ac:dyDescent="0.3">
      <c r="B31" s="8"/>
    </row>
    <row r="32" spans="2:11" ht="16.2" customHeight="1" x14ac:dyDescent="0.3">
      <c r="B32" s="8"/>
    </row>
  </sheetData>
  <mergeCells count="1">
    <mergeCell ref="H1: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M. Tajamulla Abdulla Khan</dc:creator>
  <cp:lastModifiedBy>K. M. Tajamulla Abdulla Khan</cp:lastModifiedBy>
  <dcterms:created xsi:type="dcterms:W3CDTF">2026-04-04T05:02:26Z</dcterms:created>
  <dcterms:modified xsi:type="dcterms:W3CDTF">2026-04-13T07:44:03Z</dcterms:modified>
</cp:coreProperties>
</file>